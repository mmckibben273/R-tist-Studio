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<sst xmlns="http://schemas.openxmlformats.org/spreadsheetml/2006/main" count="416" uniqueCount="108">
  <si>
    <t xml:space="preserve">Timestamp</t>
  </si>
  <si>
    <t xml:space="preserve">Gender</t>
  </si>
  <si>
    <t xml:space="preserve">Grade</t>
  </si>
  <si>
    <t xml:space="preserve">Age</t>
  </si>
  <si>
    <t xml:space="preserve">Language spoken best</t>
  </si>
  <si>
    <t xml:space="preserve">Reading habits</t>
  </si>
  <si>
    <t xml:space="preserve">Bernard is an aspiring author.</t>
  </si>
  <si>
    <t xml:space="preserve">Percival was loved by Bernard, Rhoda, and the rest of the characters mentioned (Neville, Jinny, etc).</t>
  </si>
  <si>
    <t xml:space="preserve">Bernard admired Percival greatly.</t>
  </si>
  <si>
    <t xml:space="preserve">Rhoda still feels that she has companionship despite Percival’s death.</t>
  </si>
  <si>
    <t xml:space="preserve">Rhoda has the most intense reaction to his death.</t>
  </si>
  <si>
    <t xml:space="preserve">The more I read, the more effort it took to focus.</t>
  </si>
  <si>
    <t xml:space="preserve">At points, I had a hard time making sense of what was going on in the excerpt.</t>
  </si>
  <si>
    <t xml:space="preserve">I had a hard time recognizing the thread of the story.</t>
  </si>
  <si>
    <t xml:space="preserve">At some points in the story, it was not quite clear why something happened.</t>
  </si>
  <si>
    <t xml:space="preserve">I understood why the characters reacted a certain way in regards to each event.</t>
  </si>
  <si>
    <t xml:space="preserve">The excerpt seemed to drag.</t>
  </si>
  <si>
    <t xml:space="preserve">At times while reading, I completely forgot that I was in the middle of an experiment.</t>
  </si>
  <si>
    <t xml:space="preserve">After having finished reading, I was surprised that it was over so quickly.</t>
  </si>
  <si>
    <t xml:space="preserve">I forgot my own problems and concerns while reading.</t>
  </si>
  <si>
    <t xml:space="preserve">While reading, I found myself thinking about what I had done before the experiment or what I would do after it.</t>
  </si>
  <si>
    <t xml:space="preserve">At times, the story world was closer to me than the real world.</t>
  </si>
  <si>
    <t xml:space="preserve">My attention was focused more on my surroundings than on the excerpt.</t>
  </si>
  <si>
    <t xml:space="preserve">While reading, my body was in the room, but my mind was inside the world created by the story.</t>
  </si>
  <si>
    <t xml:space="preserve">The excerpt created a new world, and then that world suddenly disappeared when I finished reading.</t>
  </si>
  <si>
    <t xml:space="preserve">At key moments, I felt I knew exactly what the characters were going through emotionally.</t>
  </si>
  <si>
    <t xml:space="preserve">At important moments, I could feel the emotions the characters felt.</t>
  </si>
  <si>
    <t xml:space="preserve">I never really shared the emotions of the characters.</t>
  </si>
  <si>
    <t xml:space="preserve">The story affected me emotionally.</t>
  </si>
  <si>
    <t xml:space="preserve">I could understand why the characters felt the way they felt.</t>
  </si>
  <si>
    <t xml:space="preserve">My understanding of the characters is unclear.</t>
  </si>
  <si>
    <t xml:space="preserve">It was difficult to understand why the characters reacted to situations as they did.</t>
  </si>
  <si>
    <t xml:space="preserve">I could easily imagine myself in the situation of some of the characters.</t>
  </si>
  <si>
    <t xml:space="preserve">While reading, I found myself thinking about other things.</t>
  </si>
  <si>
    <t xml:space="preserve">I had a hard time keeping my mind on the excerpt.</t>
  </si>
  <si>
    <t xml:space="preserve">Something unrelated to the excerpt and questionnaire occurred in the room that made me significantly lose focus.</t>
  </si>
  <si>
    <t xml:space="preserve">NU</t>
  </si>
  <si>
    <t xml:space="preserve">sum</t>
  </si>
  <si>
    <t xml:space="preserve">Grades 9+12</t>
  </si>
  <si>
    <t xml:space="preserve">Method 2</t>
  </si>
  <si>
    <t xml:space="preserve">Other/Prefer not to say</t>
  </si>
  <si>
    <t xml:space="preserve">9th grade</t>
  </si>
  <si>
    <t xml:space="preserve">English</t>
  </si>
  <si>
    <t xml:space="preserve">I never read for leisure</t>
  </si>
  <si>
    <t xml:space="preserve">avg</t>
  </si>
  <si>
    <t xml:space="preserve">NP</t>
  </si>
  <si>
    <t xml:space="preserve">sum of all EE+ CE</t>
  </si>
  <si>
    <t xml:space="preserve">Male</t>
  </si>
  <si>
    <t xml:space="preserve">I only sometimes read for leisure</t>
  </si>
  <si>
    <t xml:space="preserve">stddev</t>
  </si>
  <si>
    <t xml:space="preserve">EE+CE</t>
  </si>
  <si>
    <t xml:space="preserve">average</t>
  </si>
  <si>
    <t xml:space="preserve">Distract</t>
  </si>
  <si>
    <t xml:space="preserve">1and2</t>
  </si>
  <si>
    <t xml:space="preserve">3and4</t>
  </si>
  <si>
    <t xml:space="preserve">average of standard deviation</t>
  </si>
  <si>
    <t xml:space="preserve">Female</t>
  </si>
  <si>
    <t xml:space="preserve">gr9</t>
  </si>
  <si>
    <t xml:space="preserve">gr10</t>
  </si>
  <si>
    <t xml:space="preserve">Both/same level</t>
  </si>
  <si>
    <t xml:space="preserve">gr11</t>
  </si>
  <si>
    <t xml:space="preserve">likert average</t>
  </si>
  <si>
    <t xml:space="preserve">gr12</t>
  </si>
  <si>
    <t xml:space="preserve">likert standard deviation</t>
  </si>
  <si>
    <t xml:space="preserve">Other</t>
  </si>
  <si>
    <t xml:space="preserve">average NU</t>
  </si>
  <si>
    <t xml:space="preserve">std NU</t>
  </si>
  <si>
    <t xml:space="preserve">distract</t>
  </si>
  <si>
    <t xml:space="preserve">French</t>
  </si>
  <si>
    <t xml:space="preserve">Test of Independence (Chi-Square)</t>
  </si>
  <si>
    <t xml:space="preserve">average NP</t>
  </si>
  <si>
    <t xml:space="preserve">Alpha</t>
  </si>
  <si>
    <t xml:space="preserve">std NP</t>
  </si>
  <si>
    <t xml:space="preserve">df</t>
  </si>
  <si>
    <t xml:space="preserve">10th grade</t>
  </si>
  <si>
    <t xml:space="preserve">I read all the time</t>
  </si>
  <si>
    <t xml:space="preserve">P-value</t>
  </si>
  <si>
    <t xml:space="preserve">Test Statistic</t>
  </si>
  <si>
    <t xml:space="preserve">Grades 10+ 11</t>
  </si>
  <si>
    <t xml:space="preserve">Critical Value</t>
  </si>
  <si>
    <t xml:space="preserve">11th grade</t>
  </si>
  <si>
    <t xml:space="preserve">12th grade</t>
  </si>
  <si>
    <r>
      <rPr>
        <sz val="10"/>
        <color rgb="FF000000"/>
        <rFont val="Arial"/>
        <family val="2"/>
        <charset val="1"/>
      </rPr>
      <t xml:space="preserve">9</t>
    </r>
    <r>
      <rPr>
        <vertAlign val="superscript"/>
        <sz val="10"/>
        <color rgb="FF000000"/>
        <rFont val="Arial"/>
        <family val="2"/>
        <charset val="1"/>
      </rPr>
      <t xml:space="preserve">th</t>
    </r>
  </si>
  <si>
    <r>
      <rPr>
        <sz val="10"/>
        <color rgb="FF000000"/>
        <rFont val="Arial"/>
        <family val="2"/>
        <charset val="1"/>
      </rPr>
      <t xml:space="preserve">10</t>
    </r>
    <r>
      <rPr>
        <vertAlign val="superscript"/>
        <sz val="10"/>
        <color rgb="FF000000"/>
        <rFont val="Arial"/>
        <family val="2"/>
        <charset val="1"/>
      </rPr>
      <t xml:space="preserve">th</t>
    </r>
  </si>
  <si>
    <r>
      <rPr>
        <sz val="10"/>
        <color rgb="FF000000"/>
        <rFont val="Arial"/>
        <family val="2"/>
        <charset val="1"/>
      </rPr>
      <t xml:space="preserve">11</t>
    </r>
    <r>
      <rPr>
        <vertAlign val="superscript"/>
        <sz val="10"/>
        <color rgb="FF000000"/>
        <rFont val="Arial"/>
        <family val="2"/>
        <charset val="1"/>
      </rPr>
      <t xml:space="preserve">th</t>
    </r>
  </si>
  <si>
    <r>
      <rPr>
        <sz val="10"/>
        <color rgb="FF000000"/>
        <rFont val="Arial"/>
        <family val="2"/>
        <charset val="1"/>
      </rPr>
      <t xml:space="preserve">12</t>
    </r>
    <r>
      <rPr>
        <vertAlign val="superscript"/>
        <sz val="10"/>
        <color rgb="FF000000"/>
        <rFont val="Arial"/>
        <family val="2"/>
        <charset val="1"/>
      </rPr>
      <t xml:space="preserve">th</t>
    </r>
  </si>
  <si>
    <t xml:space="preserve">AE+CE</t>
  </si>
  <si>
    <t xml:space="preserve">Regression</t>
  </si>
  <si>
    <t xml:space="preserve">Regression Model</t>
  </si>
  <si>
    <t xml:space="preserve">Linear</t>
  </si>
  <si>
    <t xml:space="preserve">LINEST raw output</t>
  </si>
  <si>
    <t xml:space="preserve">Regression Statistics</t>
  </si>
  <si>
    <t xml:space="preserve">R^2</t>
  </si>
  <si>
    <t xml:space="preserve">Standard Error</t>
  </si>
  <si>
    <t xml:space="preserve">Count of X variables</t>
  </si>
  <si>
    <t xml:space="preserve">Observations</t>
  </si>
  <si>
    <t xml:space="preserve">Adjusted R^2</t>
  </si>
  <si>
    <t xml:space="preserve">Analysis of Variance (ANOVA)</t>
  </si>
  <si>
    <t xml:space="preserve">SS</t>
  </si>
  <si>
    <t xml:space="preserve">MS</t>
  </si>
  <si>
    <t xml:space="preserve">F</t>
  </si>
  <si>
    <t xml:space="preserve">Significance F</t>
  </si>
  <si>
    <t xml:space="preserve">Residual</t>
  </si>
  <si>
    <t xml:space="preserve">Total</t>
  </si>
  <si>
    <t xml:space="preserve">Confidence level</t>
  </si>
  <si>
    <t xml:space="preserve">Coefficients</t>
  </si>
  <si>
    <t xml:space="preserve">t-Statistic</t>
  </si>
  <si>
    <t xml:space="preserve">Predicted 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</si>
</sst>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/d/yyyy\ h:mm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vertAlign val="superscript"/>
      <sz val="10"/>
      <color rgb="FF00000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/>
      <top style="medium">
        <color rgb="FFCCCCCC"/>
      </top>
      <bottom style="medium"/>
      <diagonal/>
    </border>
    <border diagonalUp="false" diagonalDown="false">
      <left/>
      <right/>
      <top style="medium">
        <color rgb="FFCCCCCC"/>
      </top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CCCCCC"/>
      </right>
      <top/>
      <bottom style="medium"/>
      <diagonal/>
    </border>
    <border diagonalUp="false" diagonalDown="false">
      <left style="medium">
        <color rgb="FFCCCCCC"/>
      </left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B3B3B3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37320191795418"/>
          <c:y val="0"/>
          <c:w val="0.825652637187"/>
          <c:h val="0.8652434956637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Sheet1!$AK$68</c:f>
              <c:strCache>
                <c:ptCount val="1"/>
                <c:pt idx="0">
                  <c:v>9th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Sheet1!$AJ$69:$AJ$71</c:f>
              <c:strCache>
                <c:ptCount val="3"/>
                <c:pt idx="0">
                  <c:v>NU</c:v>
                </c:pt>
                <c:pt idx="1">
                  <c:v>NP</c:v>
                </c:pt>
                <c:pt idx="2">
                  <c:v>EE+CE</c:v>
                </c:pt>
              </c:strCache>
            </c:strRef>
          </c:cat>
          <c:val>
            <c:numRef>
              <c:f>Sheet1!$AK$69:$AK$71</c:f>
              <c:numCache>
                <c:formatCode>General</c:formatCode>
                <c:ptCount val="3"/>
                <c:pt idx="0">
                  <c:v>2.28</c:v>
                </c:pt>
                <c:pt idx="1">
                  <c:v>0.51</c:v>
                </c:pt>
                <c:pt idx="2">
                  <c:v>0.71</c:v>
                </c:pt>
              </c:numCache>
            </c:numRef>
          </c:val>
        </c:ser>
        <c:ser>
          <c:idx val="1"/>
          <c:order val="1"/>
          <c:tx>
            <c:strRef>
              <c:f>Sheet1!$AL$68</c:f>
              <c:strCache>
                <c:ptCount val="1"/>
                <c:pt idx="0">
                  <c:v>10th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Sheet1!$AJ$69:$AJ$71</c:f>
              <c:strCache>
                <c:ptCount val="3"/>
                <c:pt idx="0">
                  <c:v>NU</c:v>
                </c:pt>
                <c:pt idx="1">
                  <c:v>NP</c:v>
                </c:pt>
                <c:pt idx="2">
                  <c:v>EE+CE</c:v>
                </c:pt>
              </c:strCache>
            </c:strRef>
          </c:cat>
          <c:val>
            <c:numRef>
              <c:f>Sheet1!$AL$69:$AL$71</c:f>
              <c:numCache>
                <c:formatCode>General</c:formatCode>
                <c:ptCount val="3"/>
                <c:pt idx="0">
                  <c:v>1.96</c:v>
                </c:pt>
                <c:pt idx="1">
                  <c:v>0.51</c:v>
                </c:pt>
                <c:pt idx="2">
                  <c:v>0.67</c:v>
                </c:pt>
              </c:numCache>
            </c:numRef>
          </c:val>
        </c:ser>
        <c:ser>
          <c:idx val="2"/>
          <c:order val="2"/>
          <c:tx>
            <c:strRef>
              <c:f>Sheet1!$AM$68</c:f>
              <c:strCache>
                <c:ptCount val="1"/>
                <c:pt idx="0">
                  <c:v>11th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Sheet1!$AJ$69:$AJ$71</c:f>
              <c:strCache>
                <c:ptCount val="3"/>
                <c:pt idx="0">
                  <c:v>NU</c:v>
                </c:pt>
                <c:pt idx="1">
                  <c:v>NP</c:v>
                </c:pt>
                <c:pt idx="2">
                  <c:v>EE+CE</c:v>
                </c:pt>
              </c:strCache>
            </c:strRef>
          </c:cat>
          <c:val>
            <c:numRef>
              <c:f>Sheet1!$AM$69:$AM$71</c:f>
              <c:numCache>
                <c:formatCode>General</c:formatCode>
                <c:ptCount val="3"/>
                <c:pt idx="0">
                  <c:v>2.17</c:v>
                </c:pt>
                <c:pt idx="1">
                  <c:v>0.59</c:v>
                </c:pt>
                <c:pt idx="2">
                  <c:v>0.67</c:v>
                </c:pt>
              </c:numCache>
            </c:numRef>
          </c:val>
        </c:ser>
        <c:ser>
          <c:idx val="3"/>
          <c:order val="3"/>
          <c:tx>
            <c:strRef>
              <c:f>Sheet1!$AN$68</c:f>
              <c:strCache>
                <c:ptCount val="1"/>
                <c:pt idx="0">
                  <c:v>12th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Sheet1!$AJ$69:$AJ$71</c:f>
              <c:strCache>
                <c:ptCount val="3"/>
                <c:pt idx="0">
                  <c:v>NU</c:v>
                </c:pt>
                <c:pt idx="1">
                  <c:v>NP</c:v>
                </c:pt>
                <c:pt idx="2">
                  <c:v>EE+CE</c:v>
                </c:pt>
              </c:strCache>
            </c:strRef>
          </c:cat>
          <c:val>
            <c:numRef>
              <c:f>Sheet1!$AN$69:$AN$71</c:f>
              <c:numCache>
                <c:formatCode>General</c:formatCode>
                <c:ptCount val="3"/>
                <c:pt idx="0">
                  <c:v>1.92</c:v>
                </c:pt>
                <c:pt idx="1">
                  <c:v>0.51</c:v>
                </c:pt>
                <c:pt idx="2">
                  <c:v>0.73</c:v>
                </c:pt>
              </c:numCache>
            </c:numRef>
          </c:val>
        </c:ser>
        <c:gapWidth val="100"/>
        <c:overlap val="0"/>
        <c:axId val="18987151"/>
        <c:axId val="83178055"/>
      </c:barChart>
      <c:catAx>
        <c:axId val="189871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178055"/>
        <c:crosses val="autoZero"/>
        <c:auto val="1"/>
        <c:lblAlgn val="ctr"/>
        <c:lblOffset val="100"/>
        <c:noMultiLvlLbl val="0"/>
      </c:catAx>
      <c:valAx>
        <c:axId val="831780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898715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Sheet1!$AH$79:$AH$82</c:f>
              <c:numCache>
                <c:formatCode>General</c:formatCode>
                <c:ptCount val="4"/>
                <c:pt idx="0">
                  <c:v>0.51</c:v>
                </c:pt>
                <c:pt idx="1">
                  <c:v>0.51</c:v>
                </c:pt>
                <c:pt idx="2">
                  <c:v>0.59</c:v>
                </c:pt>
                <c:pt idx="3">
                  <c:v>0.51</c:v>
                </c:pt>
              </c:numCache>
            </c:numRef>
          </c:xVal>
          <c:yVal>
            <c:numRef>
              <c:f>Sheet1!$AI$79:$AI$82</c:f>
              <c:numCache>
                <c:formatCode>General</c:formatCode>
                <c:ptCount val="4"/>
                <c:pt idx="0">
                  <c:v>0.71</c:v>
                </c:pt>
                <c:pt idx="1">
                  <c:v>0.67</c:v>
                </c:pt>
                <c:pt idx="2">
                  <c:v>0.67</c:v>
                </c:pt>
                <c:pt idx="3">
                  <c:v>0.73</c:v>
                </c:pt>
              </c:numCache>
            </c:numRef>
          </c:yVal>
          <c:smooth val="0"/>
        </c:ser>
        <c:axId val="92912672"/>
        <c:axId val="20568139"/>
      </c:scatterChart>
      <c:valAx>
        <c:axId val="92912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568139"/>
        <c:crosses val="autoZero"/>
        <c:crossBetween val="midCat"/>
      </c:valAx>
      <c:valAx>
        <c:axId val="205681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91267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Sheet1!$AH$100:$AH$103</c:f>
              <c:numCache>
                <c:formatCode>General</c:formatCode>
                <c:ptCount val="4"/>
                <c:pt idx="0">
                  <c:v>2.28</c:v>
                </c:pt>
                <c:pt idx="1">
                  <c:v>1.96</c:v>
                </c:pt>
                <c:pt idx="2">
                  <c:v>2.17</c:v>
                </c:pt>
                <c:pt idx="3">
                  <c:v>1.92</c:v>
                </c:pt>
              </c:numCache>
            </c:numRef>
          </c:xVal>
          <c:yVal>
            <c:numRef>
              <c:f>Sheet1!$AI$100:$AI$103</c:f>
              <c:numCache>
                <c:formatCode>General</c:formatCode>
                <c:ptCount val="4"/>
                <c:pt idx="0">
                  <c:v>0.71</c:v>
                </c:pt>
                <c:pt idx="1">
                  <c:v>0.67</c:v>
                </c:pt>
                <c:pt idx="2">
                  <c:v>0.67</c:v>
                </c:pt>
                <c:pt idx="3">
                  <c:v>0.73</c:v>
                </c:pt>
              </c:numCache>
            </c:numRef>
          </c:yVal>
          <c:smooth val="0"/>
        </c:ser>
        <c:axId val="30573338"/>
        <c:axId val="11763750"/>
      </c:scatterChart>
      <c:valAx>
        <c:axId val="3057333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1763750"/>
        <c:crosses val="autoZero"/>
        <c:crossBetween val="midCat"/>
      </c:valAx>
      <c:valAx>
        <c:axId val="117637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5733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19432464529033"/>
          <c:y val="0.0585620624513835"/>
          <c:w val="0.887992999562473"/>
          <c:h val="0.86587398599844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0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Sheet1!$AH$120:$AH$123</c:f>
              <c:numCache>
                <c:formatCode>General</c:formatCode>
                <c:ptCount val="4"/>
                <c:pt idx="0">
                  <c:v>2.01</c:v>
                </c:pt>
                <c:pt idx="1">
                  <c:v>3.5</c:v>
                </c:pt>
                <c:pt idx="2">
                  <c:v>2.73</c:v>
                </c:pt>
                <c:pt idx="3">
                  <c:v>2.01</c:v>
                </c:pt>
              </c:numCache>
            </c:numRef>
          </c:xVal>
          <c:yVal>
            <c:numRef>
              <c:f>Sheet1!$AI$120:$AI$123</c:f>
              <c:numCache>
                <c:formatCode>General</c:formatCode>
                <c:ptCount val="4"/>
                <c:pt idx="0">
                  <c:v>0.71</c:v>
                </c:pt>
                <c:pt idx="1">
                  <c:v>0.67</c:v>
                </c:pt>
                <c:pt idx="2">
                  <c:v>0.67</c:v>
                </c:pt>
                <c:pt idx="3">
                  <c:v>0.73</c:v>
                </c:pt>
              </c:numCache>
            </c:numRef>
          </c:yVal>
          <c:smooth val="0"/>
        </c:ser>
        <c:axId val="83092859"/>
        <c:axId val="62916759"/>
      </c:scatterChart>
      <c:valAx>
        <c:axId val="830928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2916759"/>
        <c:crosses val="autoZero"/>
        <c:crossBetween val="midCat"/>
      </c:valAx>
      <c:valAx>
        <c:axId val="629167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09285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44</xdr:col>
      <xdr:colOff>426600</xdr:colOff>
      <xdr:row>65</xdr:row>
      <xdr:rowOff>45720</xdr:rowOff>
    </xdr:from>
    <xdr:to>
      <xdr:col>49</xdr:col>
      <xdr:colOff>717480</xdr:colOff>
      <xdr:row>82</xdr:row>
      <xdr:rowOff>44640</xdr:rowOff>
    </xdr:to>
    <xdr:graphicFrame>
      <xdr:nvGraphicFramePr>
        <xdr:cNvPr id="0" name=""/>
        <xdr:cNvGraphicFramePr/>
      </xdr:nvGraphicFramePr>
      <xdr:xfrm>
        <a:off x="74962800" y="13273920"/>
        <a:ext cx="540540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35</xdr:col>
      <xdr:colOff>1372320</xdr:colOff>
      <xdr:row>77</xdr:row>
      <xdr:rowOff>76320</xdr:rowOff>
    </xdr:from>
    <xdr:to>
      <xdr:col>42</xdr:col>
      <xdr:colOff>18360</xdr:colOff>
      <xdr:row>94</xdr:row>
      <xdr:rowOff>75240</xdr:rowOff>
    </xdr:to>
    <xdr:graphicFrame>
      <xdr:nvGraphicFramePr>
        <xdr:cNvPr id="1" name=""/>
        <xdr:cNvGraphicFramePr/>
      </xdr:nvGraphicFramePr>
      <xdr:xfrm>
        <a:off x="67092840" y="15590520"/>
        <a:ext cx="575352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35</xdr:col>
      <xdr:colOff>1257120</xdr:colOff>
      <xdr:row>98</xdr:row>
      <xdr:rowOff>124200</xdr:rowOff>
    </xdr:from>
    <xdr:to>
      <xdr:col>42</xdr:col>
      <xdr:colOff>77760</xdr:colOff>
      <xdr:row>115</xdr:row>
      <xdr:rowOff>123120</xdr:rowOff>
    </xdr:to>
    <xdr:graphicFrame>
      <xdr:nvGraphicFramePr>
        <xdr:cNvPr id="2" name=""/>
        <xdr:cNvGraphicFramePr/>
      </xdr:nvGraphicFramePr>
      <xdr:xfrm>
        <a:off x="66977640" y="19639080"/>
        <a:ext cx="592812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35</xdr:col>
      <xdr:colOff>607320</xdr:colOff>
      <xdr:row>123</xdr:row>
      <xdr:rowOff>75600</xdr:rowOff>
    </xdr:from>
    <xdr:to>
      <xdr:col>41</xdr:col>
      <xdr:colOff>113040</xdr:colOff>
      <xdr:row>140</xdr:row>
      <xdr:rowOff>76320</xdr:rowOff>
    </xdr:to>
    <xdr:graphicFrame>
      <xdr:nvGraphicFramePr>
        <xdr:cNvPr id="3" name=""/>
        <xdr:cNvGraphicFramePr/>
      </xdr:nvGraphicFramePr>
      <xdr:xfrm>
        <a:off x="66327840" y="243529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89"/>
  <sheetViews>
    <sheetView showFormulas="false" showGridLines="true" showRowColHeaders="true" showZeros="true" rightToLeft="false" tabSelected="true" showOutlineSymbols="true" defaultGridColor="true" view="normal" topLeftCell="AH1" colorId="64" zoomScale="100" zoomScaleNormal="100" zoomScalePageLayoutView="100" workbookViewId="0">
      <pane xSplit="0" ySplit="1" topLeftCell="A122" activePane="bottomLeft" state="frozen"/>
      <selection pane="topLeft" activeCell="AH1" activeCellId="0" sqref="AH1"/>
      <selection pane="bottomLeft" activeCell="AN147" activeCellId="0" sqref="AN147:AN150"/>
    </sheetView>
  </sheetViews>
  <sheetFormatPr defaultColWidth="8.79296875" defaultRowHeight="15" zeroHeight="false" outlineLevelRow="0" outlineLevelCol="0"/>
  <cols>
    <col collapsed="false" customWidth="true" hidden="false" outlineLevel="0" max="1" min="1" style="1" width="13.6"/>
    <col collapsed="false" customWidth="true" hidden="false" outlineLevel="0" max="2" min="2" style="1" width="18.3"/>
    <col collapsed="false" customWidth="false" hidden="false" outlineLevel="0" max="4" min="3" style="1" width="8.79"/>
    <col collapsed="false" customWidth="true" hidden="false" outlineLevel="0" max="5" min="5" style="1" width="14"/>
    <col collapsed="false" customWidth="true" hidden="false" outlineLevel="0" max="6" min="6" style="2" width="21"/>
    <col collapsed="false" customWidth="true" hidden="false" outlineLevel="0" max="36" min="7" style="2" width="20.4"/>
    <col collapsed="false" customWidth="false" hidden="false" outlineLevel="0" max="47" min="37" style="2" width="8.79"/>
    <col collapsed="false" customWidth="true" hidden="false" outlineLevel="0" max="48" min="48" style="3" width="17.47"/>
    <col collapsed="false" customWidth="false" hidden="false" outlineLevel="0" max="1024" min="49" style="2" width="8.79"/>
  </cols>
  <sheetData>
    <row r="1" s="8" customFormat="true" ht="5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5"/>
      <c r="AL1" s="5" t="s">
        <v>36</v>
      </c>
      <c r="AM1" s="5" t="s">
        <v>37</v>
      </c>
      <c r="AN1" s="5" t="n">
        <f aca="false">+COUNTIF($G2:$G16, "=1")+COUNTIF($H2:$H16, "=1")+COUNTIF($I2:$I16, "=1")+COUNTIF($J2:$J16, "=1")+COUNTIF($K2:$K16, "=1")+COUNTIF($L2:$L16, "=1")+COUNTIF($N2:$N16, "=1")</f>
        <v>1</v>
      </c>
      <c r="AO1" s="5" t="n">
        <f aca="false">+COUNTIF($G2:$G16, "=2")+COUNTIF($H2:$H16, "=2")+COUNTIF($I2:$I16, "=2")+COUNTIF($J2:$J16, "=2")+COUNTIF($K2:$K16, "=2")+COUNTIF($L2:$L16, "=2")+COUNTIF($N2:$N16, "=2")</f>
        <v>30</v>
      </c>
      <c r="AP1" s="5" t="n">
        <f aca="false">+COUNTIF($G2:$G16, "=3")+COUNTIF($H2:$H16, "=3")+COUNTIF($I2:$I16, "=3")+COUNTIF($J2:$J16, "=3")+COUNTIF($K2:$K16, "=3")+COUNTIF($L2:$L16, "=3")+COUNTIF($N2:$N16, "=3")</f>
        <v>41</v>
      </c>
      <c r="AQ1" s="5" t="n">
        <f aca="false">+COUNTIF($G2:$G16, "=4")+COUNTIF($H2:$H16, "=4")+COUNTIF($I2:$I16, "=4")+COUNTIF($J2:$J16, "=4")+COUNTIF($K2:$K16, "=4")+COUNTIF($L2:$L16, "=4")+COUNTIF($N2:$N16, "=4")</f>
        <v>33</v>
      </c>
      <c r="AR1" s="0"/>
      <c r="AS1" s="0" t="s">
        <v>36</v>
      </c>
      <c r="AT1" s="0" t="n">
        <v>31</v>
      </c>
      <c r="AU1" s="0" t="n">
        <v>74</v>
      </c>
      <c r="AV1" s="7" t="n">
        <f aca="false">+$AU1/$AT1</f>
        <v>2.38709677419355</v>
      </c>
      <c r="AW1" s="0" t="n">
        <v>2.28</v>
      </c>
      <c r="AX1" s="0"/>
      <c r="AY1" s="0"/>
      <c r="BP1" s="5" t="s">
        <v>38</v>
      </c>
      <c r="BQ1" s="5"/>
      <c r="BU1" s="8" t="s">
        <v>39</v>
      </c>
    </row>
    <row r="2" customFormat="false" ht="28.8" hidden="false" customHeight="true" outlineLevel="0" collapsed="false">
      <c r="A2" s="9" t="n">
        <v>45358.7590393519</v>
      </c>
      <c r="B2" s="10" t="s">
        <v>40</v>
      </c>
      <c r="C2" s="10" t="s">
        <v>41</v>
      </c>
      <c r="D2" s="10" t="n">
        <v>15</v>
      </c>
      <c r="E2" s="10" t="s">
        <v>42</v>
      </c>
      <c r="F2" s="11" t="s">
        <v>43</v>
      </c>
      <c r="G2" s="12" t="n">
        <v>4</v>
      </c>
      <c r="H2" s="12" t="n">
        <v>3</v>
      </c>
      <c r="I2" s="12" t="n">
        <v>4</v>
      </c>
      <c r="J2" s="12" t="n">
        <v>3</v>
      </c>
      <c r="K2" s="12" t="n">
        <v>2</v>
      </c>
      <c r="L2" s="12" t="n">
        <v>4</v>
      </c>
      <c r="M2" s="12" t="n">
        <v>3</v>
      </c>
      <c r="N2" s="12" t="n">
        <v>3</v>
      </c>
      <c r="O2" s="12" t="n">
        <v>2</v>
      </c>
      <c r="P2" s="12" t="n">
        <v>3</v>
      </c>
      <c r="Q2" s="12" t="n">
        <v>4</v>
      </c>
      <c r="R2" s="12" t="n">
        <v>4</v>
      </c>
      <c r="S2" s="12" t="n">
        <v>1</v>
      </c>
      <c r="T2" s="12" t="n">
        <v>3</v>
      </c>
      <c r="U2" s="12" t="n">
        <v>1</v>
      </c>
      <c r="V2" s="12" t="n">
        <v>1</v>
      </c>
      <c r="W2" s="12" t="n">
        <v>4</v>
      </c>
      <c r="X2" s="12" t="n">
        <v>2</v>
      </c>
      <c r="Y2" s="12" t="n">
        <v>1</v>
      </c>
      <c r="Z2" s="12" t="n">
        <v>3</v>
      </c>
      <c r="AA2" s="12" t="n">
        <v>3</v>
      </c>
      <c r="AB2" s="12" t="n">
        <v>3</v>
      </c>
      <c r="AC2" s="12" t="n">
        <v>2</v>
      </c>
      <c r="AD2" s="12" t="n">
        <v>3</v>
      </c>
      <c r="AE2" s="12" t="n">
        <v>2</v>
      </c>
      <c r="AF2" s="12" t="n">
        <v>1</v>
      </c>
      <c r="AG2" s="12" t="n">
        <v>3</v>
      </c>
      <c r="AH2" s="12" t="n">
        <v>3</v>
      </c>
      <c r="AI2" s="12" t="n">
        <v>3</v>
      </c>
      <c r="AJ2" s="12" t="n">
        <v>4</v>
      </c>
      <c r="AK2" s="11"/>
      <c r="AL2" s="11"/>
      <c r="AM2" s="11" t="s">
        <v>44</v>
      </c>
      <c r="AN2" s="11" t="n">
        <f aca="false">+$AN1/(15*7)</f>
        <v>0.00952380952380952</v>
      </c>
      <c r="AO2" s="11"/>
      <c r="AP2" s="11"/>
      <c r="AQ2" s="0"/>
      <c r="AR2" s="0"/>
      <c r="AS2" s="0" t="s">
        <v>45</v>
      </c>
      <c r="AT2" s="0" t="n">
        <v>80</v>
      </c>
      <c r="AU2" s="0" t="n">
        <v>55</v>
      </c>
      <c r="AV2" s="7" t="n">
        <f aca="false">+$AU2/$AT2</f>
        <v>0.6875</v>
      </c>
      <c r="AW2" s="0" t="n">
        <v>0.51</v>
      </c>
      <c r="AX2" s="0"/>
      <c r="AY2" s="0"/>
      <c r="BP2" s="13" t="s">
        <v>36</v>
      </c>
      <c r="BQ2" s="13" t="n">
        <f aca="false">+(AN2+AN50)/2</f>
        <v>0.0506802721088435</v>
      </c>
      <c r="BU2" s="8" t="s">
        <v>46</v>
      </c>
      <c r="BV2" s="2" t="n">
        <f aca="false">+282+318+297+282</f>
        <v>1179</v>
      </c>
    </row>
    <row r="3" customFormat="false" ht="15" hidden="false" customHeight="false" outlineLevel="0" collapsed="false">
      <c r="A3" s="9" t="n">
        <v>45358.7615277778</v>
      </c>
      <c r="B3" s="10" t="s">
        <v>47</v>
      </c>
      <c r="C3" s="10" t="s">
        <v>41</v>
      </c>
      <c r="D3" s="10" t="n">
        <v>15</v>
      </c>
      <c r="E3" s="10" t="s">
        <v>42</v>
      </c>
      <c r="F3" s="11" t="s">
        <v>48</v>
      </c>
      <c r="G3" s="12" t="n">
        <v>2</v>
      </c>
      <c r="H3" s="12" t="n">
        <v>3</v>
      </c>
      <c r="I3" s="12" t="n">
        <v>4</v>
      </c>
      <c r="J3" s="12" t="n">
        <v>3</v>
      </c>
      <c r="K3" s="12" t="n">
        <v>4</v>
      </c>
      <c r="L3" s="12" t="n">
        <v>3</v>
      </c>
      <c r="M3" s="12" t="n">
        <v>4</v>
      </c>
      <c r="N3" s="12" t="n">
        <v>4</v>
      </c>
      <c r="O3" s="12" t="n">
        <v>3</v>
      </c>
      <c r="P3" s="12" t="n">
        <v>2</v>
      </c>
      <c r="Q3" s="12" t="n">
        <v>4</v>
      </c>
      <c r="R3" s="12" t="n">
        <v>4</v>
      </c>
      <c r="S3" s="12" t="n">
        <v>2</v>
      </c>
      <c r="T3" s="12" t="n">
        <v>3</v>
      </c>
      <c r="U3" s="12" t="n">
        <v>4</v>
      </c>
      <c r="V3" s="12" t="n">
        <v>2</v>
      </c>
      <c r="W3" s="12" t="n">
        <v>2</v>
      </c>
      <c r="X3" s="12" t="n">
        <v>2</v>
      </c>
      <c r="Y3" s="12" t="n">
        <v>2</v>
      </c>
      <c r="Z3" s="12" t="n">
        <v>2</v>
      </c>
      <c r="AA3" s="12" t="n">
        <v>2</v>
      </c>
      <c r="AB3" s="12" t="n">
        <v>3</v>
      </c>
      <c r="AC3" s="12" t="n">
        <v>1</v>
      </c>
      <c r="AD3" s="12" t="n">
        <v>3</v>
      </c>
      <c r="AE3" s="12" t="n">
        <v>3</v>
      </c>
      <c r="AF3" s="12" t="n">
        <v>2</v>
      </c>
      <c r="AG3" s="12" t="n">
        <v>1</v>
      </c>
      <c r="AH3" s="12" t="n">
        <v>4</v>
      </c>
      <c r="AI3" s="12" t="n">
        <v>4</v>
      </c>
      <c r="AJ3" s="12" t="n">
        <v>3</v>
      </c>
      <c r="AK3" s="11"/>
      <c r="AL3" s="11"/>
      <c r="AM3" s="11" t="s">
        <v>49</v>
      </c>
      <c r="AN3" s="5" t="n">
        <f aca="false">+STDEV(($G2:$G16), ($H2:$H16),($I2:$I16),($J2:$J16),($K2:$K16),($L2:$L16),($N2:$N16))</f>
        <v>0.802582826965038</v>
      </c>
      <c r="AO3" s="11"/>
      <c r="AP3" s="11"/>
      <c r="AQ3" s="0"/>
      <c r="AR3" s="0"/>
      <c r="AS3" s="0" t="s">
        <v>50</v>
      </c>
      <c r="AT3" s="0" t="n">
        <v>65</v>
      </c>
      <c r="AU3" s="0" t="n">
        <v>55</v>
      </c>
      <c r="AV3" s="7" t="n">
        <f aca="false">+$AU3/$AT3</f>
        <v>0.846153846153846</v>
      </c>
      <c r="AW3" s="0" t="n">
        <v>0.71</v>
      </c>
      <c r="AX3" s="0"/>
      <c r="AY3" s="0"/>
      <c r="BP3" s="13"/>
      <c r="BQ3" s="13" t="n">
        <f aca="false">+(AN3+AN51)/2</f>
        <v>0.870409238520267</v>
      </c>
      <c r="BU3" s="14" t="s">
        <v>51</v>
      </c>
      <c r="BV3" s="14" t="n">
        <f aca="false">+BV2/(60*7)</f>
        <v>2.80714285714286</v>
      </c>
    </row>
    <row r="4" customFormat="false" ht="28.8" hidden="false" customHeight="true" outlineLevel="0" collapsed="false">
      <c r="A4" s="9" t="n">
        <v>45358.7617939815</v>
      </c>
      <c r="B4" s="10" t="s">
        <v>47</v>
      </c>
      <c r="C4" s="10" t="s">
        <v>41</v>
      </c>
      <c r="D4" s="10" t="n">
        <v>14</v>
      </c>
      <c r="E4" s="10" t="s">
        <v>42</v>
      </c>
      <c r="F4" s="11" t="s">
        <v>48</v>
      </c>
      <c r="G4" s="12" t="n">
        <v>2</v>
      </c>
      <c r="H4" s="12" t="n">
        <v>3</v>
      </c>
      <c r="I4" s="12" t="n">
        <v>4</v>
      </c>
      <c r="J4" s="12" t="n">
        <v>3</v>
      </c>
      <c r="K4" s="12" t="n">
        <v>1</v>
      </c>
      <c r="L4" s="12" t="n">
        <v>2</v>
      </c>
      <c r="M4" s="12" t="n">
        <v>3</v>
      </c>
      <c r="N4" s="12" t="n">
        <v>3</v>
      </c>
      <c r="O4" s="12" t="n">
        <v>3</v>
      </c>
      <c r="P4" s="12" t="n">
        <v>2</v>
      </c>
      <c r="Q4" s="12" t="n">
        <v>4</v>
      </c>
      <c r="R4" s="12" t="n">
        <v>1</v>
      </c>
      <c r="S4" s="12" t="n">
        <v>2</v>
      </c>
      <c r="T4" s="12" t="n">
        <v>2</v>
      </c>
      <c r="U4" s="12" t="n">
        <v>2</v>
      </c>
      <c r="V4" s="12" t="n">
        <v>1</v>
      </c>
      <c r="W4" s="12" t="n">
        <v>1</v>
      </c>
      <c r="X4" s="12" t="n">
        <v>2</v>
      </c>
      <c r="Y4" s="12" t="n">
        <v>1</v>
      </c>
      <c r="Z4" s="12" t="n">
        <v>2</v>
      </c>
      <c r="AA4" s="12" t="n">
        <v>1</v>
      </c>
      <c r="AB4" s="12" t="n">
        <v>1</v>
      </c>
      <c r="AC4" s="12" t="n">
        <v>1</v>
      </c>
      <c r="AD4" s="12" t="n">
        <v>2</v>
      </c>
      <c r="AE4" s="12" t="n">
        <v>3</v>
      </c>
      <c r="AF4" s="12" t="n">
        <v>3</v>
      </c>
      <c r="AG4" s="12" t="n">
        <v>1</v>
      </c>
      <c r="AH4" s="12" t="n">
        <v>2</v>
      </c>
      <c r="AI4" s="12" t="n">
        <v>2</v>
      </c>
      <c r="AJ4" s="12" t="n">
        <v>3</v>
      </c>
      <c r="AK4" s="11"/>
      <c r="AL4" s="11"/>
      <c r="AM4" s="11"/>
      <c r="AN4" s="11"/>
      <c r="AO4" s="11"/>
      <c r="AP4" s="11"/>
      <c r="AQ4" s="0"/>
      <c r="AR4" s="0"/>
      <c r="AS4" s="0" t="s">
        <v>52</v>
      </c>
      <c r="AT4" s="0" t="n">
        <v>32</v>
      </c>
      <c r="AU4" s="0" t="n">
        <v>58</v>
      </c>
      <c r="AV4" s="7" t="n">
        <f aca="false">+$AU4/$AT4</f>
        <v>1.8125</v>
      </c>
      <c r="AW4" s="0" t="n">
        <v>2.01</v>
      </c>
      <c r="AX4" s="0"/>
      <c r="AY4" s="0"/>
      <c r="AZ4" s="2" t="s">
        <v>53</v>
      </c>
      <c r="BA4" s="2" t="s">
        <v>54</v>
      </c>
      <c r="BP4" s="13"/>
      <c r="BQ4" s="13"/>
      <c r="BU4" s="8" t="s">
        <v>55</v>
      </c>
      <c r="BV4" s="14" t="n">
        <v>0.9232</v>
      </c>
    </row>
    <row r="5" customFormat="false" ht="15" hidden="false" customHeight="false" outlineLevel="0" collapsed="false">
      <c r="A5" s="9" t="n">
        <v>45358.762974537</v>
      </c>
      <c r="B5" s="10" t="s">
        <v>56</v>
      </c>
      <c r="C5" s="10" t="s">
        <v>41</v>
      </c>
      <c r="D5" s="10" t="n">
        <v>14</v>
      </c>
      <c r="E5" s="10" t="s">
        <v>42</v>
      </c>
      <c r="F5" s="11" t="s">
        <v>48</v>
      </c>
      <c r="G5" s="12" t="n">
        <v>3</v>
      </c>
      <c r="H5" s="12" t="n">
        <v>3</v>
      </c>
      <c r="I5" s="12" t="n">
        <v>3</v>
      </c>
      <c r="J5" s="12" t="n">
        <v>2</v>
      </c>
      <c r="K5" s="12" t="n">
        <v>3</v>
      </c>
      <c r="L5" s="12" t="n">
        <v>2</v>
      </c>
      <c r="M5" s="12" t="n">
        <v>4</v>
      </c>
      <c r="N5" s="12" t="n">
        <v>4</v>
      </c>
      <c r="O5" s="12" t="n">
        <v>3</v>
      </c>
      <c r="P5" s="12" t="n">
        <v>2</v>
      </c>
      <c r="Q5" s="12" t="n">
        <v>3</v>
      </c>
      <c r="R5" s="12" t="n">
        <v>2</v>
      </c>
      <c r="S5" s="12" t="n">
        <v>3</v>
      </c>
      <c r="T5" s="12" t="n">
        <v>3</v>
      </c>
      <c r="U5" s="12" t="n">
        <v>3</v>
      </c>
      <c r="V5" s="12" t="n">
        <v>2</v>
      </c>
      <c r="W5" s="12" t="n">
        <v>1</v>
      </c>
      <c r="X5" s="12" t="n">
        <v>1</v>
      </c>
      <c r="Y5" s="12" t="n">
        <v>1</v>
      </c>
      <c r="Z5" s="12" t="n">
        <v>2</v>
      </c>
      <c r="AA5" s="12" t="n">
        <v>2</v>
      </c>
      <c r="AB5" s="12" t="n">
        <v>3</v>
      </c>
      <c r="AC5" s="12" t="n">
        <v>1</v>
      </c>
      <c r="AD5" s="12" t="n">
        <v>3</v>
      </c>
      <c r="AE5" s="12" t="n">
        <v>3</v>
      </c>
      <c r="AF5" s="12" t="n">
        <v>2</v>
      </c>
      <c r="AG5" s="12" t="n">
        <v>2</v>
      </c>
      <c r="AH5" s="12" t="n">
        <v>2</v>
      </c>
      <c r="AI5" s="12" t="n">
        <v>2</v>
      </c>
      <c r="AJ5" s="12" t="n">
        <v>2</v>
      </c>
      <c r="AK5" s="11"/>
      <c r="AL5" s="13" t="s">
        <v>45</v>
      </c>
      <c r="AM5" s="11" t="s">
        <v>37</v>
      </c>
      <c r="AN5" s="5" t="n">
        <f aca="false">+COUNTIF($Q$2:$Q$16,"=1")+COUNTIF($R$2:$R$16,"=1")+COUNTIF($S$2:$S$16,"=1")+COUNTIF($T$2:$T$16,"=1")+COUNTIF($U$2:$U$16,"=1")+COUNTIF($V$2:$V$16,"=1")+COUNTIF($W$2:$W$16,"=1")+COUNTIF($X$2:$X$16,"=1")+COUNTIF($Y$2:$Y$16,"=1")</f>
        <v>35</v>
      </c>
      <c r="AO5" s="5" t="n">
        <f aca="false">+COUNTIF($Q$2:$Q$16,"=2")+COUNTIF($R$2:$R$16,"=2")+COUNTIF($S$2:$S$16,"=2")+COUNTIF($T$2:$T$16,"=2")+COUNTIF($U$2:$U$16,"=2")+COUNTIF($V$2:$V$16,"=2")+COUNTIF($W$2:$W$16,"=2")+COUNTIF($X$2:$X$16,"=2")+COUNTIF($Y$2:$Y$16,"=2")</f>
        <v>45</v>
      </c>
      <c r="AP5" s="5" t="n">
        <f aca="false">+COUNTIF($Q$2:$Q$16,"=3")+COUNTIF($R$2:$R$16,"=3")+COUNTIF($S$2:$S$16,"=3")+COUNTIF($T$2:$T$16,"=3")+COUNTIF($U$2:$U$16,"=3")+COUNTIF($V$2:$V$16,"=3")+COUNTIF($W$2:$W$16,"=3")+COUNTIF($X$2:$X$16,"=3")+COUNTIF($Y$2:$Y$16,"=3")</f>
        <v>37</v>
      </c>
      <c r="AQ5" s="5" t="n">
        <f aca="false">+COUNTIF($Q$2:$Q$16,"=4")+COUNTIF($R$2:$R$16,"=4")+COUNTIF($S$2:$S$16,"=4")+COUNTIF($T$2:$T$16,"=4")+COUNTIF($U$2:$U$16,"=4")+COUNTIF($V$2:$V$16,"=4")+COUNTIF($W$2:$W$16,"=4")+COUNTIF($X$2:$X$16,"=4")+COUNTIF($Y$2:$Y$16,"=4")</f>
        <v>18</v>
      </c>
      <c r="AR5" s="0"/>
      <c r="AS5" s="0"/>
      <c r="AT5" s="0"/>
      <c r="AU5" s="0"/>
      <c r="AV5" s="7"/>
      <c r="AW5" s="0"/>
      <c r="AX5" s="0"/>
      <c r="AY5" s="0" t="s">
        <v>57</v>
      </c>
      <c r="AZ5" s="2" t="n">
        <v>65</v>
      </c>
      <c r="BA5" s="2" t="n">
        <v>55</v>
      </c>
      <c r="BP5" s="15"/>
      <c r="BQ5" s="15"/>
    </row>
    <row r="6" customFormat="false" ht="15" hidden="false" customHeight="false" outlineLevel="0" collapsed="false">
      <c r="A6" s="9" t="n">
        <v>45358.7632638889</v>
      </c>
      <c r="B6" s="10" t="s">
        <v>56</v>
      </c>
      <c r="C6" s="10" t="s">
        <v>41</v>
      </c>
      <c r="D6" s="10" t="n">
        <v>14</v>
      </c>
      <c r="E6" s="10" t="s">
        <v>42</v>
      </c>
      <c r="F6" s="11" t="s">
        <v>48</v>
      </c>
      <c r="G6" s="12" t="n">
        <v>2</v>
      </c>
      <c r="H6" s="12" t="n">
        <v>3</v>
      </c>
      <c r="I6" s="12" t="n">
        <v>3</v>
      </c>
      <c r="J6" s="12" t="n">
        <v>4</v>
      </c>
      <c r="K6" s="12" t="n">
        <v>3</v>
      </c>
      <c r="L6" s="12" t="n">
        <v>4</v>
      </c>
      <c r="M6" s="12" t="n">
        <v>4</v>
      </c>
      <c r="N6" s="12" t="n">
        <v>4</v>
      </c>
      <c r="O6" s="12" t="n">
        <v>4</v>
      </c>
      <c r="P6" s="12" t="n">
        <v>3</v>
      </c>
      <c r="Q6" s="12" t="n">
        <v>3</v>
      </c>
      <c r="R6" s="12" t="n">
        <v>3</v>
      </c>
      <c r="S6" s="12" t="n">
        <v>2</v>
      </c>
      <c r="T6" s="12" t="n">
        <v>1</v>
      </c>
      <c r="U6" s="12" t="n">
        <v>3</v>
      </c>
      <c r="V6" s="12" t="n">
        <v>2</v>
      </c>
      <c r="W6" s="12" t="n">
        <v>3</v>
      </c>
      <c r="X6" s="12" t="n">
        <v>2</v>
      </c>
      <c r="Y6" s="12" t="n">
        <v>2</v>
      </c>
      <c r="Z6" s="12" t="n">
        <v>3</v>
      </c>
      <c r="AA6" s="12" t="n">
        <v>4</v>
      </c>
      <c r="AB6" s="12" t="n">
        <v>2</v>
      </c>
      <c r="AC6" s="12" t="n">
        <v>2</v>
      </c>
      <c r="AD6" s="12" t="n">
        <v>3</v>
      </c>
      <c r="AE6" s="12" t="n">
        <v>3</v>
      </c>
      <c r="AF6" s="12" t="n">
        <v>1</v>
      </c>
      <c r="AG6" s="12" t="n">
        <v>3</v>
      </c>
      <c r="AH6" s="12" t="n">
        <v>3</v>
      </c>
      <c r="AI6" s="12" t="n">
        <v>4</v>
      </c>
      <c r="AJ6" s="12" t="n">
        <v>3</v>
      </c>
      <c r="AK6" s="11"/>
      <c r="AL6" s="13"/>
      <c r="AM6" s="11" t="s">
        <v>44</v>
      </c>
      <c r="AN6" s="11" t="n">
        <f aca="false">+$AN5/(15*7)</f>
        <v>0.333333333333333</v>
      </c>
      <c r="AO6" s="11"/>
      <c r="AP6" s="11"/>
      <c r="AQ6" s="0"/>
      <c r="AR6" s="0"/>
      <c r="AS6" s="0"/>
      <c r="AT6" s="0"/>
      <c r="AU6" s="0"/>
      <c r="AV6" s="7"/>
      <c r="AW6" s="0"/>
      <c r="AX6" s="0"/>
      <c r="AY6" s="0" t="s">
        <v>58</v>
      </c>
      <c r="AZ6" s="2" t="n">
        <v>69</v>
      </c>
      <c r="BA6" s="2" t="n">
        <v>59</v>
      </c>
      <c r="BP6" s="13" t="s">
        <v>45</v>
      </c>
      <c r="BQ6" s="13" t="n">
        <f aca="false">+(AN6+AN54)/2</f>
        <v>0.345238095238095</v>
      </c>
    </row>
    <row r="7" customFormat="false" ht="15" hidden="false" customHeight="false" outlineLevel="0" collapsed="false">
      <c r="A7" s="9" t="n">
        <v>45358.7637037037</v>
      </c>
      <c r="B7" s="10" t="s">
        <v>40</v>
      </c>
      <c r="C7" s="10" t="s">
        <v>41</v>
      </c>
      <c r="D7" s="10" t="n">
        <v>15</v>
      </c>
      <c r="E7" s="10" t="s">
        <v>59</v>
      </c>
      <c r="F7" s="11" t="s">
        <v>43</v>
      </c>
      <c r="G7" s="12" t="n">
        <v>4</v>
      </c>
      <c r="H7" s="12" t="n">
        <v>2</v>
      </c>
      <c r="I7" s="12" t="n">
        <v>3</v>
      </c>
      <c r="J7" s="12" t="n">
        <v>3</v>
      </c>
      <c r="K7" s="12" t="n">
        <v>4</v>
      </c>
      <c r="L7" s="12" t="n">
        <v>4</v>
      </c>
      <c r="M7" s="12" t="n">
        <v>4</v>
      </c>
      <c r="N7" s="12" t="n">
        <v>4</v>
      </c>
      <c r="O7" s="12" t="n">
        <v>4</v>
      </c>
      <c r="P7" s="12" t="n">
        <v>3</v>
      </c>
      <c r="Q7" s="12" t="n">
        <v>3</v>
      </c>
      <c r="R7" s="12" t="n">
        <v>1</v>
      </c>
      <c r="S7" s="12" t="n">
        <v>1</v>
      </c>
      <c r="T7" s="12" t="n">
        <v>2</v>
      </c>
      <c r="U7" s="12" t="n">
        <v>1</v>
      </c>
      <c r="V7" s="12" t="n">
        <v>2</v>
      </c>
      <c r="W7" s="12" t="n">
        <v>1</v>
      </c>
      <c r="X7" s="12" t="n">
        <v>1</v>
      </c>
      <c r="Y7" s="12" t="n">
        <v>1</v>
      </c>
      <c r="Z7" s="12" t="n">
        <v>2</v>
      </c>
      <c r="AA7" s="12" t="n">
        <v>3</v>
      </c>
      <c r="AB7" s="12" t="n">
        <v>2</v>
      </c>
      <c r="AC7" s="12" t="n">
        <v>2</v>
      </c>
      <c r="AD7" s="12" t="n">
        <v>3</v>
      </c>
      <c r="AE7" s="12" t="n">
        <v>3</v>
      </c>
      <c r="AF7" s="12" t="n">
        <v>3</v>
      </c>
      <c r="AG7" s="12" t="n">
        <v>4</v>
      </c>
      <c r="AH7" s="12" t="n">
        <v>1</v>
      </c>
      <c r="AI7" s="12" t="n">
        <v>2</v>
      </c>
      <c r="AJ7" s="12" t="n">
        <v>1</v>
      </c>
      <c r="AK7" s="11"/>
      <c r="AL7" s="11"/>
      <c r="AM7" s="11" t="s">
        <v>49</v>
      </c>
      <c r="AN7" s="5" t="n">
        <f aca="false">+STDEV(($Q$2:$Q$16),($R$2:$R$16),($S$2:$S$16),($T$2:$T$16),($U$2:$U$16),($V$2:$V$16),($W$2:$W$16),($X$2:$X$16),($Y$2:$Y$16))</f>
        <v>0.997398495578805</v>
      </c>
      <c r="AO7" s="11"/>
      <c r="AP7" s="11"/>
      <c r="AQ7" s="0"/>
      <c r="AR7" s="0"/>
      <c r="AS7" s="0"/>
      <c r="AT7" s="0"/>
      <c r="AU7" s="0"/>
      <c r="AV7" s="7"/>
      <c r="AW7" s="0"/>
      <c r="AX7" s="0"/>
      <c r="AY7" s="0" t="s">
        <v>60</v>
      </c>
      <c r="AZ7" s="2" t="n">
        <v>64</v>
      </c>
      <c r="BA7" s="2" t="n">
        <v>56</v>
      </c>
      <c r="BP7" s="13"/>
      <c r="BQ7" s="13" t="n">
        <f aca="false">+(AN7+AN55)/2</f>
        <v>1.06651321240519</v>
      </c>
      <c r="BU7" s="14" t="s">
        <v>61</v>
      </c>
      <c r="BV7" s="14" t="n">
        <v>2.5</v>
      </c>
    </row>
    <row r="8" customFormat="false" ht="15" hidden="false" customHeight="false" outlineLevel="0" collapsed="false">
      <c r="A8" s="9" t="n">
        <v>45358.7639814815</v>
      </c>
      <c r="B8" s="10" t="s">
        <v>47</v>
      </c>
      <c r="C8" s="10" t="s">
        <v>41</v>
      </c>
      <c r="D8" s="10" t="n">
        <v>15</v>
      </c>
      <c r="E8" s="10" t="s">
        <v>42</v>
      </c>
      <c r="F8" s="11" t="s">
        <v>43</v>
      </c>
      <c r="G8" s="12" t="n">
        <v>3</v>
      </c>
      <c r="H8" s="12" t="n">
        <v>3</v>
      </c>
      <c r="I8" s="12" t="n">
        <v>4</v>
      </c>
      <c r="J8" s="12" t="n">
        <v>3</v>
      </c>
      <c r="K8" s="12" t="n">
        <v>2</v>
      </c>
      <c r="L8" s="12" t="n">
        <v>3</v>
      </c>
      <c r="M8" s="12" t="n">
        <v>3</v>
      </c>
      <c r="N8" s="12" t="n">
        <v>2</v>
      </c>
      <c r="O8" s="12" t="n">
        <v>3</v>
      </c>
      <c r="P8" s="12" t="n">
        <v>3</v>
      </c>
      <c r="Q8" s="12" t="n">
        <v>4</v>
      </c>
      <c r="R8" s="12" t="n">
        <v>3</v>
      </c>
      <c r="S8" s="12" t="n">
        <v>2</v>
      </c>
      <c r="T8" s="12" t="n">
        <v>3</v>
      </c>
      <c r="U8" s="12" t="n">
        <v>1</v>
      </c>
      <c r="V8" s="12" t="n">
        <v>2</v>
      </c>
      <c r="W8" s="12" t="n">
        <v>2</v>
      </c>
      <c r="X8" s="12" t="n">
        <v>3</v>
      </c>
      <c r="Y8" s="12" t="n">
        <v>3</v>
      </c>
      <c r="Z8" s="12" t="n">
        <v>4</v>
      </c>
      <c r="AA8" s="12" t="n">
        <v>2</v>
      </c>
      <c r="AB8" s="12" t="n">
        <v>3</v>
      </c>
      <c r="AC8" s="12" t="n">
        <v>2</v>
      </c>
      <c r="AD8" s="12" t="n">
        <v>4</v>
      </c>
      <c r="AE8" s="12" t="n">
        <v>2</v>
      </c>
      <c r="AF8" s="12" t="n">
        <v>2</v>
      </c>
      <c r="AG8" s="12" t="n">
        <v>2</v>
      </c>
      <c r="AH8" s="12" t="n">
        <v>2</v>
      </c>
      <c r="AI8" s="12" t="n">
        <v>3</v>
      </c>
      <c r="AJ8" s="12" t="n">
        <v>4</v>
      </c>
      <c r="AK8" s="11"/>
      <c r="AL8" s="11"/>
      <c r="AM8" s="11"/>
      <c r="AN8" s="5"/>
      <c r="AO8" s="11"/>
      <c r="AP8" s="11"/>
      <c r="AQ8" s="0"/>
      <c r="AR8" s="0"/>
      <c r="AS8" s="0"/>
      <c r="AT8" s="0"/>
      <c r="AU8" s="0"/>
      <c r="AV8" s="7"/>
      <c r="AW8" s="0"/>
      <c r="AX8" s="0"/>
      <c r="AY8" s="0" t="s">
        <v>62</v>
      </c>
      <c r="AZ8" s="2" t="n">
        <v>65</v>
      </c>
      <c r="BA8" s="2" t="n">
        <v>55</v>
      </c>
      <c r="BP8" s="13"/>
      <c r="BQ8" s="13"/>
      <c r="BU8" s="14" t="s">
        <v>63</v>
      </c>
      <c r="BV8" s="14" t="n">
        <v>0.009232</v>
      </c>
    </row>
    <row r="9" customFormat="false" ht="15" hidden="false" customHeight="false" outlineLevel="0" collapsed="false">
      <c r="A9" s="9" t="n">
        <v>45358.7644097222</v>
      </c>
      <c r="B9" s="10" t="s">
        <v>56</v>
      </c>
      <c r="C9" s="10" t="s">
        <v>41</v>
      </c>
      <c r="D9" s="10" t="n">
        <v>14</v>
      </c>
      <c r="E9" s="10" t="s">
        <v>42</v>
      </c>
      <c r="F9" s="11" t="s">
        <v>48</v>
      </c>
      <c r="G9" s="12" t="n">
        <v>3</v>
      </c>
      <c r="H9" s="12" t="n">
        <v>4</v>
      </c>
      <c r="I9" s="12" t="n">
        <v>3</v>
      </c>
      <c r="J9" s="12" t="n">
        <v>2</v>
      </c>
      <c r="K9" s="12" t="n">
        <v>2</v>
      </c>
      <c r="L9" s="12" t="n">
        <v>4</v>
      </c>
      <c r="M9" s="12" t="n">
        <v>4</v>
      </c>
      <c r="N9" s="12" t="n">
        <v>3</v>
      </c>
      <c r="O9" s="12" t="n">
        <v>3</v>
      </c>
      <c r="P9" s="12" t="n">
        <v>3</v>
      </c>
      <c r="Q9" s="12" t="n">
        <v>3</v>
      </c>
      <c r="R9" s="12" t="n">
        <v>2</v>
      </c>
      <c r="S9" s="12" t="n">
        <v>2</v>
      </c>
      <c r="T9" s="12" t="n">
        <v>2</v>
      </c>
      <c r="U9" s="12" t="n">
        <v>3</v>
      </c>
      <c r="V9" s="12" t="n">
        <v>2</v>
      </c>
      <c r="W9" s="12" t="n">
        <v>3</v>
      </c>
      <c r="X9" s="12" t="n">
        <v>2</v>
      </c>
      <c r="Y9" s="12" t="n">
        <v>3</v>
      </c>
      <c r="Z9" s="12" t="n">
        <v>2</v>
      </c>
      <c r="AA9" s="12" t="n">
        <v>2</v>
      </c>
      <c r="AB9" s="12" t="n">
        <v>3</v>
      </c>
      <c r="AC9" s="12" t="n">
        <v>1</v>
      </c>
      <c r="AD9" s="12" t="n">
        <v>3</v>
      </c>
      <c r="AE9" s="12" t="n">
        <v>3</v>
      </c>
      <c r="AF9" s="12" t="n">
        <v>2</v>
      </c>
      <c r="AG9" s="12" t="n">
        <v>2</v>
      </c>
      <c r="AH9" s="12" t="n">
        <v>3</v>
      </c>
      <c r="AI9" s="12" t="n">
        <v>3</v>
      </c>
      <c r="AJ9" s="12" t="n">
        <v>3</v>
      </c>
      <c r="AK9" s="11"/>
      <c r="AL9" s="13" t="s">
        <v>50</v>
      </c>
      <c r="AM9" s="11" t="s">
        <v>37</v>
      </c>
      <c r="AN9" s="13" t="n">
        <f aca="false">+COUNTIF($Z$2:$Z$16,"=1")+COUNTIF($AA$2:$AA$16,"=1")+COUNTIF($AB$2:$AB$16,"=1")+COUNTIF($AC$2:$AC$16,"=1")+COUNTIF($AD$2:$AD$16,"=1")+COUNTIF($AE$2:$AE$16,"=1")+COUNTIF($AF$2:$AF$16,"=1")+COUNTIF($AG$2:$AG$16,"=1")</f>
        <v>24</v>
      </c>
      <c r="AO9" s="13" t="n">
        <f aca="false">+COUNTIF($Z$2:$Z$16,"=2")+COUNTIF($AA$2:$AA$16,"=2")+COUNTIF($AB$2:$AB$16,"=2")+COUNTIF($AC$2:$AC$16,"=2")+COUNTIF($AD$2:$AD$16,"=2")+COUNTIF($AE$2:$AE$16,"=2")+COUNTIF($AF$2:$AF$16,"=2")+COUNTIF($AG$2:$AG$16,"=2")</f>
        <v>41</v>
      </c>
      <c r="AP9" s="13" t="n">
        <f aca="false">+COUNTIF($Z$2:$Z$16,"=3")+COUNTIF($AA$2:$AA$16,"=3")+COUNTIF($AB$2:$AB$16,"=3")+COUNTIF($AC$2:$AC$16,"=3")+COUNTIF($AD$2:$AD$16,"=3")+COUNTIF($AE$2:$AE$16,"=3")+COUNTIF($AF$2:$AF$16,"=3")+COUNTIF($AG$2:$AG$16,"=3")</f>
        <v>44</v>
      </c>
      <c r="AQ9" s="13" t="n">
        <f aca="false">+COUNTIF($Z$2:$Z$16,"=4")+COUNTIF($AA$2:$AA$16,"=4")+COUNTIF($AB$2:$AB$16,"=4")+COUNTIF($AC$2:$AC$16,"=4")+COUNTIF($AD$2:$AD$16,"=4")+COUNTIF($AE$2:$AE$16,"=4")+COUNTIF($AF$2:$AF$16,"=4")+COUNTIF($AG$2:$AG$16,"=4")</f>
        <v>11</v>
      </c>
      <c r="AR9" s="0"/>
      <c r="AS9" s="0"/>
      <c r="AT9" s="0"/>
      <c r="AU9" s="0"/>
      <c r="AV9" s="7"/>
      <c r="AW9" s="0"/>
      <c r="AX9" s="0"/>
      <c r="AY9" s="0"/>
      <c r="BP9" s="15"/>
      <c r="BQ9" s="13"/>
    </row>
    <row r="10" customFormat="false" ht="15" hidden="false" customHeight="false" outlineLevel="0" collapsed="false">
      <c r="A10" s="9" t="n">
        <v>45358.7647685185</v>
      </c>
      <c r="B10" s="10" t="s">
        <v>47</v>
      </c>
      <c r="C10" s="10" t="s">
        <v>41</v>
      </c>
      <c r="D10" s="10" t="n">
        <v>14</v>
      </c>
      <c r="E10" s="10" t="s">
        <v>64</v>
      </c>
      <c r="F10" s="11" t="s">
        <v>48</v>
      </c>
      <c r="G10" s="12" t="n">
        <v>3</v>
      </c>
      <c r="H10" s="12" t="n">
        <v>3</v>
      </c>
      <c r="I10" s="12" t="n">
        <v>3</v>
      </c>
      <c r="J10" s="12" t="n">
        <v>4</v>
      </c>
      <c r="K10" s="12" t="n">
        <v>2</v>
      </c>
      <c r="L10" s="12" t="n">
        <v>2</v>
      </c>
      <c r="M10" s="12" t="n">
        <v>3</v>
      </c>
      <c r="N10" s="12" t="n">
        <v>4</v>
      </c>
      <c r="O10" s="12" t="n">
        <v>3</v>
      </c>
      <c r="P10" s="12" t="n">
        <v>2</v>
      </c>
      <c r="Q10" s="12" t="n">
        <v>4</v>
      </c>
      <c r="R10" s="12" t="n">
        <v>2</v>
      </c>
      <c r="S10" s="12" t="n">
        <v>1</v>
      </c>
      <c r="T10" s="12" t="n">
        <v>3</v>
      </c>
      <c r="U10" s="12" t="n">
        <v>1</v>
      </c>
      <c r="V10" s="12" t="n">
        <v>4</v>
      </c>
      <c r="W10" s="12" t="n">
        <v>1</v>
      </c>
      <c r="X10" s="12" t="n">
        <v>3</v>
      </c>
      <c r="Y10" s="12" t="n">
        <v>1</v>
      </c>
      <c r="Z10" s="12" t="n">
        <v>2</v>
      </c>
      <c r="AA10" s="12" t="n">
        <v>3</v>
      </c>
      <c r="AB10" s="12" t="n">
        <v>1</v>
      </c>
      <c r="AC10" s="12" t="n">
        <v>1</v>
      </c>
      <c r="AD10" s="12" t="n">
        <v>2</v>
      </c>
      <c r="AE10" s="12" t="n">
        <v>3</v>
      </c>
      <c r="AF10" s="12" t="n">
        <v>2</v>
      </c>
      <c r="AG10" s="12" t="n">
        <v>1</v>
      </c>
      <c r="AH10" s="12" t="n">
        <v>1</v>
      </c>
      <c r="AI10" s="12" t="n">
        <v>1</v>
      </c>
      <c r="AJ10" s="12" t="n">
        <v>2</v>
      </c>
      <c r="AK10" s="11"/>
      <c r="AL10" s="0"/>
      <c r="AM10" s="11" t="s">
        <v>44</v>
      </c>
      <c r="AN10" s="11" t="n">
        <f aca="false">+$AN9/(15*7)</f>
        <v>0.228571428571429</v>
      </c>
      <c r="AO10" s="11"/>
      <c r="AP10" s="11"/>
      <c r="AQ10" s="0"/>
      <c r="AR10" s="0"/>
      <c r="AS10" s="0"/>
      <c r="AT10" s="0"/>
      <c r="AU10" s="0"/>
      <c r="AV10" s="7"/>
      <c r="AW10" s="0"/>
      <c r="AX10" s="0"/>
      <c r="AY10" s="0"/>
      <c r="BP10" s="13" t="s">
        <v>50</v>
      </c>
      <c r="BQ10" s="13" t="n">
        <f aca="false">+(AN10+AN58)/2</f>
        <v>0.236734693877551</v>
      </c>
    </row>
    <row r="11" customFormat="false" ht="15" hidden="false" customHeight="false" outlineLevel="0" collapsed="false">
      <c r="A11" s="9" t="n">
        <v>45358.7654976852</v>
      </c>
      <c r="B11" s="10" t="s">
        <v>47</v>
      </c>
      <c r="C11" s="10" t="s">
        <v>41</v>
      </c>
      <c r="D11" s="10" t="n">
        <v>15</v>
      </c>
      <c r="E11" s="10" t="s">
        <v>42</v>
      </c>
      <c r="F11" s="11" t="s">
        <v>43</v>
      </c>
      <c r="G11" s="12" t="n">
        <v>2</v>
      </c>
      <c r="H11" s="12" t="n">
        <v>2</v>
      </c>
      <c r="I11" s="12" t="n">
        <v>3</v>
      </c>
      <c r="J11" s="12" t="n">
        <v>2</v>
      </c>
      <c r="K11" s="12" t="n">
        <v>2</v>
      </c>
      <c r="L11" s="12" t="n">
        <v>4</v>
      </c>
      <c r="M11" s="12" t="n">
        <v>4</v>
      </c>
      <c r="N11" s="12" t="n">
        <v>4</v>
      </c>
      <c r="O11" s="12" t="n">
        <v>3</v>
      </c>
      <c r="P11" s="12" t="n">
        <v>2</v>
      </c>
      <c r="Q11" s="12" t="n">
        <v>4</v>
      </c>
      <c r="R11" s="12" t="n">
        <v>3</v>
      </c>
      <c r="S11" s="12" t="n">
        <v>1</v>
      </c>
      <c r="T11" s="12" t="n">
        <v>1</v>
      </c>
      <c r="U11" s="12" t="n">
        <v>2</v>
      </c>
      <c r="V11" s="12" t="n">
        <v>1</v>
      </c>
      <c r="W11" s="12" t="n">
        <v>4</v>
      </c>
      <c r="X11" s="12" t="n">
        <v>2</v>
      </c>
      <c r="Y11" s="12" t="n">
        <v>3</v>
      </c>
      <c r="Z11" s="12" t="n">
        <v>2</v>
      </c>
      <c r="AA11" s="12" t="n">
        <v>3</v>
      </c>
      <c r="AB11" s="12" t="n">
        <v>2</v>
      </c>
      <c r="AC11" s="12" t="n">
        <v>1</v>
      </c>
      <c r="AD11" s="12" t="n">
        <v>2</v>
      </c>
      <c r="AE11" s="12" t="n">
        <v>3</v>
      </c>
      <c r="AF11" s="12" t="n">
        <v>4</v>
      </c>
      <c r="AG11" s="12" t="n">
        <v>4</v>
      </c>
      <c r="AH11" s="12" t="n">
        <v>4</v>
      </c>
      <c r="AI11" s="12" t="n">
        <v>4</v>
      </c>
      <c r="AJ11" s="12" t="n">
        <v>4</v>
      </c>
      <c r="AK11" s="11"/>
      <c r="AL11" s="11"/>
      <c r="AM11" s="11" t="s">
        <v>49</v>
      </c>
      <c r="AN11" s="13" t="n">
        <f aca="false">+STDEV(($Z$2:$Z$16),($AA$2:$AA$16),($AB$2:$AB$16),($AC$2:$AC$16),($AD$2:$AD$16),($AE$2:$AE$16),($AF$2:$AF$16),($AG$2:$AG$16))</f>
        <v>0.904238386059522</v>
      </c>
      <c r="AO11" s="11"/>
      <c r="AP11" s="11"/>
      <c r="AQ11" s="0"/>
      <c r="AR11" s="0"/>
      <c r="AS11" s="0"/>
      <c r="AT11" s="0"/>
      <c r="AU11" s="0"/>
      <c r="AV11" s="7"/>
      <c r="AW11" s="0"/>
      <c r="AX11" s="0"/>
      <c r="AY11" s="0"/>
      <c r="BP11" s="13"/>
      <c r="BQ11" s="13" t="n">
        <f aca="false">+(AN11+AN59)/2</f>
        <v>0.924978965289323</v>
      </c>
      <c r="BU11" s="14" t="s">
        <v>65</v>
      </c>
      <c r="BV11" s="14" t="n">
        <v>2.90814</v>
      </c>
    </row>
    <row r="12" customFormat="false" ht="15" hidden="false" customHeight="false" outlineLevel="0" collapsed="false">
      <c r="A12" s="9" t="n">
        <v>45358.7657175926</v>
      </c>
      <c r="B12" s="10" t="s">
        <v>47</v>
      </c>
      <c r="C12" s="10" t="s">
        <v>41</v>
      </c>
      <c r="D12" s="10" t="n">
        <v>14</v>
      </c>
      <c r="E12" s="10" t="s">
        <v>42</v>
      </c>
      <c r="F12" s="11" t="s">
        <v>48</v>
      </c>
      <c r="G12" s="12" t="n">
        <v>2</v>
      </c>
      <c r="H12" s="12" t="n">
        <v>2</v>
      </c>
      <c r="I12" s="12" t="n">
        <v>3</v>
      </c>
      <c r="J12" s="12" t="n">
        <v>2</v>
      </c>
      <c r="K12" s="12" t="n">
        <v>2</v>
      </c>
      <c r="L12" s="12" t="n">
        <v>4</v>
      </c>
      <c r="M12" s="12" t="n">
        <v>4</v>
      </c>
      <c r="N12" s="12" t="n">
        <v>4</v>
      </c>
      <c r="O12" s="12" t="n">
        <v>4</v>
      </c>
      <c r="P12" s="12" t="n">
        <v>3</v>
      </c>
      <c r="Q12" s="12" t="n">
        <v>4</v>
      </c>
      <c r="R12" s="12" t="n">
        <v>3</v>
      </c>
      <c r="S12" s="12" t="n">
        <v>3</v>
      </c>
      <c r="T12" s="12" t="n">
        <v>2</v>
      </c>
      <c r="U12" s="12" t="n">
        <v>4</v>
      </c>
      <c r="V12" s="12" t="n">
        <v>1</v>
      </c>
      <c r="W12" s="12" t="n">
        <v>2</v>
      </c>
      <c r="X12" s="12" t="n">
        <v>3</v>
      </c>
      <c r="Y12" s="12" t="n">
        <v>3</v>
      </c>
      <c r="Z12" s="12" t="n">
        <v>2</v>
      </c>
      <c r="AA12" s="12" t="n">
        <v>2</v>
      </c>
      <c r="AB12" s="12" t="n">
        <v>4</v>
      </c>
      <c r="AC12" s="12" t="n">
        <v>1</v>
      </c>
      <c r="AD12" s="12" t="n">
        <v>2</v>
      </c>
      <c r="AE12" s="12" t="n">
        <v>4</v>
      </c>
      <c r="AF12" s="12" t="n">
        <v>3</v>
      </c>
      <c r="AG12" s="12" t="n">
        <v>1</v>
      </c>
      <c r="AH12" s="12" t="n">
        <v>2</v>
      </c>
      <c r="AI12" s="12" t="n">
        <v>2</v>
      </c>
      <c r="AJ12" s="12" t="n">
        <v>1</v>
      </c>
      <c r="AK12" s="11"/>
      <c r="AL12" s="11"/>
      <c r="AM12" s="11"/>
      <c r="AN12" s="11"/>
      <c r="AO12" s="11"/>
      <c r="AP12" s="11"/>
      <c r="AQ12" s="0"/>
      <c r="AR12" s="0"/>
      <c r="AS12" s="0"/>
      <c r="AT12" s="0"/>
      <c r="AU12" s="0"/>
      <c r="AV12" s="7"/>
      <c r="AW12" s="0"/>
      <c r="AX12" s="0"/>
      <c r="AY12" s="0"/>
      <c r="BP12" s="13"/>
      <c r="BQ12" s="13"/>
      <c r="BU12" s="14" t="s">
        <v>66</v>
      </c>
      <c r="BV12" s="14" t="n">
        <v>0.84514</v>
      </c>
    </row>
    <row r="13" customFormat="false" ht="15" hidden="false" customHeight="false" outlineLevel="0" collapsed="false">
      <c r="A13" s="9" t="n">
        <v>45358.7666319444</v>
      </c>
      <c r="B13" s="10" t="s">
        <v>47</v>
      </c>
      <c r="C13" s="10" t="s">
        <v>41</v>
      </c>
      <c r="D13" s="10" t="n">
        <v>14</v>
      </c>
      <c r="E13" s="10" t="s">
        <v>42</v>
      </c>
      <c r="F13" s="11" t="s">
        <v>48</v>
      </c>
      <c r="G13" s="12" t="n">
        <v>3</v>
      </c>
      <c r="H13" s="12" t="n">
        <v>4</v>
      </c>
      <c r="I13" s="12" t="n">
        <v>3</v>
      </c>
      <c r="J13" s="12" t="n">
        <v>4</v>
      </c>
      <c r="K13" s="12" t="n">
        <v>2</v>
      </c>
      <c r="L13" s="12" t="n">
        <v>4</v>
      </c>
      <c r="M13" s="12" t="n">
        <v>4</v>
      </c>
      <c r="N13" s="12" t="n">
        <v>4</v>
      </c>
      <c r="O13" s="12" t="n">
        <v>4</v>
      </c>
      <c r="P13" s="12" t="n">
        <v>1</v>
      </c>
      <c r="Q13" s="12" t="n">
        <v>2</v>
      </c>
      <c r="R13" s="12" t="n">
        <v>1</v>
      </c>
      <c r="S13" s="12" t="n">
        <v>1</v>
      </c>
      <c r="T13" s="12" t="n">
        <v>1</v>
      </c>
      <c r="U13" s="12" t="n">
        <v>4</v>
      </c>
      <c r="V13" s="12" t="n">
        <v>1</v>
      </c>
      <c r="W13" s="12" t="n">
        <v>4</v>
      </c>
      <c r="X13" s="12" t="n">
        <v>1</v>
      </c>
      <c r="Y13" s="12" t="n">
        <v>1</v>
      </c>
      <c r="Z13" s="12" t="n">
        <v>1</v>
      </c>
      <c r="AA13" s="12" t="n">
        <v>1</v>
      </c>
      <c r="AB13" s="12" t="n">
        <v>4</v>
      </c>
      <c r="AC13" s="12" t="n">
        <v>1</v>
      </c>
      <c r="AD13" s="12" t="n">
        <v>1</v>
      </c>
      <c r="AE13" s="12" t="n">
        <v>4</v>
      </c>
      <c r="AF13" s="12" t="n">
        <v>4</v>
      </c>
      <c r="AG13" s="12" t="n">
        <v>1</v>
      </c>
      <c r="AH13" s="12" t="n">
        <v>4</v>
      </c>
      <c r="AI13" s="12" t="n">
        <v>4</v>
      </c>
      <c r="AJ13" s="12" t="n">
        <v>3</v>
      </c>
      <c r="AK13" s="11"/>
      <c r="AL13" s="13" t="s">
        <v>67</v>
      </c>
      <c r="AM13" s="13"/>
      <c r="AN13" s="13" t="n">
        <f aca="false">+COUNTIF($AH$2:$AH$16,"=1")+COUNTIF($AI$2:$AI$16,"=1")+COUNTIF($AJ$2:$AJ$16,"=1")+COUNTIF($P$2:$P$16,"=1")+COUNTIF($O$2:$O$16,"=1")+COUNTIF($M$2:$M$16,"=1")</f>
        <v>9</v>
      </c>
      <c r="AO13" s="13" t="n">
        <f aca="false">+COUNTIF($AH$2:$AH$16,"=2")+COUNTIF($AI$2:$AI$16,"=2")+COUNTIF($AJ$2:$AJ$16,"=2")+COUNTIF($P$2:$P$16,"=2")+COUNTIF($O$2:$O$16,"=2")+COUNTIF($M$2:$M$16,"=2")</f>
        <v>23</v>
      </c>
      <c r="AP13" s="13" t="n">
        <f aca="false">+COUNTIF($AH$2:$AH$16,"=3")+COUNTIF($AI$2:$AI$16,"=3")+COUNTIF($AJ$2:$AJ$16,"=3")+COUNTIF($P$2:$P$16,"=3")+COUNTIF($O$2:$O$16,"=3")+COUNTIF($M$2:$M$16,"=3")</f>
        <v>35</v>
      </c>
      <c r="AQ13" s="13" t="n">
        <f aca="false">+COUNTIF($AH$2:$AH$16,"=4")+COUNTIF($AI$2:$AI$16,"=4")+COUNTIF($AJ$2:$AJ$16,"=4")+COUNTIF($P$2:$P$16,"=4")+COUNTIF($O$2:$O$16,"=4")+COUNTIF($M$2:$M$16,"=4")</f>
        <v>23</v>
      </c>
      <c r="AR13" s="0"/>
      <c r="AS13" s="0"/>
      <c r="AT13" s="0"/>
      <c r="AU13" s="0"/>
      <c r="AV13" s="7"/>
      <c r="AW13" s="0"/>
      <c r="AX13" s="0"/>
      <c r="AY13" s="0"/>
      <c r="BP13" s="13"/>
      <c r="BQ13" s="13"/>
    </row>
    <row r="14" customFormat="false" ht="15" hidden="false" customHeight="false" outlineLevel="0" collapsed="false">
      <c r="A14" s="9" t="n">
        <v>45358.7697106481</v>
      </c>
      <c r="B14" s="10" t="s">
        <v>56</v>
      </c>
      <c r="C14" s="10" t="s">
        <v>41</v>
      </c>
      <c r="D14" s="10" t="n">
        <v>14</v>
      </c>
      <c r="E14" s="10" t="s">
        <v>68</v>
      </c>
      <c r="F14" s="11" t="s">
        <v>48</v>
      </c>
      <c r="G14" s="12" t="n">
        <v>2</v>
      </c>
      <c r="H14" s="12" t="n">
        <v>3</v>
      </c>
      <c r="I14" s="12" t="n">
        <v>4</v>
      </c>
      <c r="J14" s="12" t="n">
        <v>3</v>
      </c>
      <c r="K14" s="12" t="n">
        <v>2</v>
      </c>
      <c r="L14" s="12" t="n">
        <v>4</v>
      </c>
      <c r="M14" s="12" t="n">
        <v>4</v>
      </c>
      <c r="N14" s="12" t="n">
        <v>4</v>
      </c>
      <c r="O14" s="12" t="n">
        <v>3</v>
      </c>
      <c r="P14" s="12" t="n">
        <v>3</v>
      </c>
      <c r="Q14" s="12" t="n">
        <v>3</v>
      </c>
      <c r="R14" s="12" t="n">
        <v>4</v>
      </c>
      <c r="S14" s="12" t="n">
        <v>3</v>
      </c>
      <c r="T14" s="12" t="n">
        <v>2</v>
      </c>
      <c r="U14" s="12" t="n">
        <v>2</v>
      </c>
      <c r="V14" s="12" t="n">
        <v>1</v>
      </c>
      <c r="W14" s="12" t="n">
        <v>2</v>
      </c>
      <c r="X14" s="12" t="n">
        <v>2</v>
      </c>
      <c r="Y14" s="12" t="n">
        <v>1</v>
      </c>
      <c r="Z14" s="12" t="n">
        <v>2</v>
      </c>
      <c r="AA14" s="12" t="n">
        <v>1</v>
      </c>
      <c r="AB14" s="12" t="n">
        <v>3</v>
      </c>
      <c r="AC14" s="12" t="n">
        <v>1</v>
      </c>
      <c r="AD14" s="12" t="n">
        <v>3</v>
      </c>
      <c r="AE14" s="12" t="n">
        <v>3</v>
      </c>
      <c r="AF14" s="12" t="n">
        <v>3</v>
      </c>
      <c r="AG14" s="12" t="n">
        <v>3</v>
      </c>
      <c r="AH14" s="12" t="n">
        <v>3</v>
      </c>
      <c r="AI14" s="12" t="n">
        <v>3</v>
      </c>
      <c r="AJ14" s="12" t="n">
        <v>3</v>
      </c>
      <c r="AK14" s="11"/>
      <c r="AL14" s="13"/>
      <c r="AM14" s="13"/>
      <c r="AN14" s="13" t="n">
        <f aca="false">+$AN13/(15*7)</f>
        <v>0.0857142857142857</v>
      </c>
      <c r="AO14" s="11"/>
      <c r="AP14" s="11"/>
      <c r="AQ14" s="0"/>
      <c r="AR14" s="0"/>
      <c r="AS14" s="0"/>
      <c r="AT14" s="0"/>
      <c r="AU14" s="0"/>
      <c r="AV14" s="7"/>
      <c r="AW14" s="0"/>
      <c r="AX14" s="0"/>
      <c r="AY14" s="0"/>
      <c r="AZ14" s="14" t="s">
        <v>69</v>
      </c>
      <c r="BP14" s="13"/>
      <c r="BQ14" s="13"/>
      <c r="BU14" s="14" t="s">
        <v>70</v>
      </c>
      <c r="BV14" s="14" t="n">
        <v>3.04777</v>
      </c>
    </row>
    <row r="15" customFormat="false" ht="15" hidden="false" customHeight="false" outlineLevel="0" collapsed="false">
      <c r="A15" s="9" t="n">
        <v>45358.7725231481</v>
      </c>
      <c r="B15" s="10" t="s">
        <v>47</v>
      </c>
      <c r="C15" s="10" t="s">
        <v>41</v>
      </c>
      <c r="D15" s="10" t="n">
        <v>14</v>
      </c>
      <c r="E15" s="10" t="s">
        <v>68</v>
      </c>
      <c r="F15" s="11" t="s">
        <v>48</v>
      </c>
      <c r="G15" s="12" t="n">
        <v>2</v>
      </c>
      <c r="H15" s="12" t="n">
        <v>3</v>
      </c>
      <c r="I15" s="12" t="n">
        <v>4</v>
      </c>
      <c r="J15" s="12" t="n">
        <v>3</v>
      </c>
      <c r="K15" s="12" t="n">
        <v>2</v>
      </c>
      <c r="L15" s="12" t="n">
        <v>3</v>
      </c>
      <c r="M15" s="12" t="n">
        <v>3</v>
      </c>
      <c r="N15" s="12" t="n">
        <v>2</v>
      </c>
      <c r="O15" s="12" t="n">
        <v>2</v>
      </c>
      <c r="P15" s="12" t="n">
        <v>3</v>
      </c>
      <c r="Q15" s="12" t="n">
        <v>3</v>
      </c>
      <c r="R15" s="12" t="n">
        <v>3</v>
      </c>
      <c r="S15" s="12" t="n">
        <v>2</v>
      </c>
      <c r="T15" s="12" t="n">
        <v>2</v>
      </c>
      <c r="U15" s="12" t="n">
        <v>2</v>
      </c>
      <c r="V15" s="12" t="n">
        <v>2</v>
      </c>
      <c r="W15" s="12" t="n">
        <v>2</v>
      </c>
      <c r="X15" s="12" t="n">
        <v>3</v>
      </c>
      <c r="Y15" s="12" t="n">
        <v>3</v>
      </c>
      <c r="Z15" s="12" t="n">
        <v>3</v>
      </c>
      <c r="AA15" s="12" t="n">
        <v>2</v>
      </c>
      <c r="AB15" s="12" t="n">
        <v>3</v>
      </c>
      <c r="AC15" s="12" t="n">
        <v>2</v>
      </c>
      <c r="AD15" s="12" t="n">
        <v>3</v>
      </c>
      <c r="AE15" s="12" t="n">
        <v>1</v>
      </c>
      <c r="AF15" s="12" t="n">
        <v>2</v>
      </c>
      <c r="AG15" s="12" t="n">
        <v>3</v>
      </c>
      <c r="AH15" s="12" t="n">
        <v>1</v>
      </c>
      <c r="AI15" s="12" t="n">
        <v>1</v>
      </c>
      <c r="AJ15" s="12" t="n">
        <v>1</v>
      </c>
      <c r="AK15" s="11"/>
      <c r="AL15" s="11"/>
      <c r="AM15" s="11"/>
      <c r="AN15" s="11"/>
      <c r="AO15" s="11"/>
      <c r="AP15" s="11"/>
      <c r="AQ15" s="0"/>
      <c r="AR15" s="0"/>
      <c r="AS15" s="0"/>
      <c r="AT15" s="0"/>
      <c r="AU15" s="0"/>
      <c r="AV15" s="7"/>
      <c r="AW15" s="0"/>
      <c r="AX15" s="0"/>
      <c r="AY15" s="0"/>
      <c r="AZ15" s="2" t="s">
        <v>71</v>
      </c>
      <c r="BA15" s="2" t="n">
        <v>0.05</v>
      </c>
      <c r="BP15" s="13"/>
      <c r="BQ15" s="13"/>
      <c r="BU15" s="14" t="s">
        <v>72</v>
      </c>
      <c r="BV15" s="14" t="n">
        <v>1.02178</v>
      </c>
    </row>
    <row r="16" s="20" customFormat="true" ht="15" hidden="false" customHeight="false" outlineLevel="0" collapsed="false">
      <c r="A16" s="16" t="n">
        <v>45358.7880555556</v>
      </c>
      <c r="B16" s="17" t="s">
        <v>47</v>
      </c>
      <c r="C16" s="17" t="s">
        <v>41</v>
      </c>
      <c r="D16" s="17" t="n">
        <v>14</v>
      </c>
      <c r="E16" s="17" t="s">
        <v>64</v>
      </c>
      <c r="F16" s="18" t="s">
        <v>48</v>
      </c>
      <c r="G16" s="19" t="n">
        <v>3</v>
      </c>
      <c r="H16" s="19" t="n">
        <v>3</v>
      </c>
      <c r="I16" s="19" t="n">
        <v>4</v>
      </c>
      <c r="J16" s="19" t="n">
        <v>2</v>
      </c>
      <c r="K16" s="19" t="n">
        <v>2</v>
      </c>
      <c r="L16" s="19" t="n">
        <v>3</v>
      </c>
      <c r="M16" s="19" t="n">
        <v>2</v>
      </c>
      <c r="N16" s="19" t="n">
        <v>3</v>
      </c>
      <c r="O16" s="19" t="n">
        <v>2</v>
      </c>
      <c r="P16" s="19" t="n">
        <v>2</v>
      </c>
      <c r="Q16" s="19" t="n">
        <v>4</v>
      </c>
      <c r="R16" s="19" t="n">
        <v>3</v>
      </c>
      <c r="S16" s="19" t="n">
        <v>3</v>
      </c>
      <c r="T16" s="19" t="n">
        <v>2</v>
      </c>
      <c r="U16" s="19" t="n">
        <v>3</v>
      </c>
      <c r="V16" s="19" t="n">
        <v>2</v>
      </c>
      <c r="W16" s="19" t="n">
        <v>3</v>
      </c>
      <c r="X16" s="19" t="n">
        <v>2</v>
      </c>
      <c r="Y16" s="19" t="n">
        <v>2</v>
      </c>
      <c r="Z16" s="19" t="n">
        <v>2</v>
      </c>
      <c r="AA16" s="19" t="n">
        <v>3</v>
      </c>
      <c r="AB16" s="19" t="n">
        <v>3</v>
      </c>
      <c r="AC16" s="19" t="n">
        <v>3</v>
      </c>
      <c r="AD16" s="19" t="n">
        <v>3</v>
      </c>
      <c r="AE16" s="19" t="n">
        <v>2</v>
      </c>
      <c r="AF16" s="19" t="n">
        <v>3</v>
      </c>
      <c r="AG16" s="19" t="n">
        <v>2</v>
      </c>
      <c r="AH16" s="19" t="n">
        <v>2</v>
      </c>
      <c r="AI16" s="19" t="n">
        <v>2</v>
      </c>
      <c r="AJ16" s="19" t="n">
        <v>2</v>
      </c>
      <c r="AK16" s="18"/>
      <c r="AL16" s="18"/>
      <c r="AM16" s="18"/>
      <c r="AN16" s="18"/>
      <c r="AO16" s="18"/>
      <c r="AP16" s="18"/>
      <c r="AQ16" s="0"/>
      <c r="AR16" s="0"/>
      <c r="AS16" s="0"/>
      <c r="AT16" s="0"/>
      <c r="AU16" s="0"/>
      <c r="AV16" s="7"/>
      <c r="AW16" s="0"/>
      <c r="AX16" s="0"/>
      <c r="AY16" s="0"/>
      <c r="AZ16" s="20" t="s">
        <v>73</v>
      </c>
      <c r="BA16" s="20" t="n">
        <f aca="false">(COLUMNS(Sheet1!$AZ$5:$BA$8) - 1) * (ROWS(Sheet1!$AZ$5:$BA$8) - 1)</f>
        <v>3</v>
      </c>
      <c r="BP16" s="21"/>
      <c r="BQ16" s="21"/>
    </row>
    <row r="17" customFormat="false" ht="15" hidden="false" customHeight="false" outlineLevel="0" collapsed="false">
      <c r="A17" s="9" t="n">
        <v>45351.9366087963</v>
      </c>
      <c r="B17" s="10" t="s">
        <v>56</v>
      </c>
      <c r="C17" s="10" t="s">
        <v>74</v>
      </c>
      <c r="D17" s="10" t="n">
        <v>15</v>
      </c>
      <c r="E17" s="10" t="s">
        <v>42</v>
      </c>
      <c r="F17" s="11" t="s">
        <v>75</v>
      </c>
      <c r="G17" s="12" t="n">
        <v>4</v>
      </c>
      <c r="H17" s="12" t="n">
        <v>4</v>
      </c>
      <c r="I17" s="12" t="n">
        <v>4</v>
      </c>
      <c r="J17" s="12" t="n">
        <v>2</v>
      </c>
      <c r="K17" s="12" t="n">
        <v>3</v>
      </c>
      <c r="L17" s="12" t="n">
        <v>4</v>
      </c>
      <c r="M17" s="12" t="n">
        <v>3</v>
      </c>
      <c r="N17" s="12" t="n">
        <v>2</v>
      </c>
      <c r="O17" s="12" t="n">
        <v>2</v>
      </c>
      <c r="P17" s="12" t="n">
        <v>3</v>
      </c>
      <c r="Q17" s="12" t="n">
        <v>3</v>
      </c>
      <c r="R17" s="12" t="n">
        <v>3</v>
      </c>
      <c r="S17" s="12" t="n">
        <v>2</v>
      </c>
      <c r="T17" s="12" t="n">
        <v>2</v>
      </c>
      <c r="U17" s="12" t="n">
        <v>1</v>
      </c>
      <c r="V17" s="12" t="n">
        <v>2</v>
      </c>
      <c r="W17" s="12" t="n">
        <v>2</v>
      </c>
      <c r="X17" s="12" t="n">
        <v>3</v>
      </c>
      <c r="Y17" s="12" t="n">
        <v>3</v>
      </c>
      <c r="Z17" s="12" t="n">
        <v>4</v>
      </c>
      <c r="AA17" s="12" t="n">
        <v>4</v>
      </c>
      <c r="AB17" s="12" t="n">
        <v>1</v>
      </c>
      <c r="AC17" s="12" t="n">
        <v>4</v>
      </c>
      <c r="AD17" s="12" t="n">
        <v>3</v>
      </c>
      <c r="AE17" s="12" t="n">
        <v>3</v>
      </c>
      <c r="AF17" s="12" t="n">
        <v>2</v>
      </c>
      <c r="AG17" s="12" t="n">
        <v>3</v>
      </c>
      <c r="AH17" s="12" t="n">
        <v>3</v>
      </c>
      <c r="AI17" s="12" t="n">
        <v>3</v>
      </c>
      <c r="AJ17" s="12" t="n">
        <v>1</v>
      </c>
      <c r="AK17" s="11"/>
      <c r="AL17" s="11"/>
      <c r="AM17" s="11"/>
      <c r="AN17" s="11"/>
      <c r="AO17" s="11"/>
      <c r="AP17" s="11"/>
      <c r="AQ17" s="0"/>
      <c r="AR17" s="0"/>
      <c r="AS17" s="0"/>
      <c r="AT17" s="0"/>
      <c r="AU17" s="0"/>
      <c r="AV17" s="7"/>
      <c r="AW17" s="0"/>
      <c r="AX17" s="0"/>
      <c r="AY17" s="0"/>
      <c r="AZ17" s="2" t="s">
        <v>76</v>
      </c>
      <c r="BA17" s="2" t="n">
        <f aca="false">CHITEST(Sheet1!$AZ$5:$BA$8, MMULT(MMULT(Sheet1!$AZ$5:$BA$8,TRANSPOSE(IF(COLUMN(Sheet1!$AZ$5:$BA$8),TRUE()))),MMULT(TRANSPOSE(IF(ROW(Sheet1!$AZ$5:$BA$8),TRUE())),Sheet1!$AZ$5:$BA$8)) / SUM(Sheet1!$AZ$5:$BA$8))</f>
        <v>0.999116140627197</v>
      </c>
      <c r="BP17" s="13"/>
      <c r="BQ17" s="13"/>
    </row>
    <row r="18" customFormat="false" ht="15" hidden="false" customHeight="false" outlineLevel="0" collapsed="false">
      <c r="A18" s="9" t="n">
        <v>45351.9411921296</v>
      </c>
      <c r="B18" s="10" t="s">
        <v>56</v>
      </c>
      <c r="C18" s="10" t="s">
        <v>74</v>
      </c>
      <c r="D18" s="10" t="n">
        <v>16</v>
      </c>
      <c r="E18" s="10" t="s">
        <v>42</v>
      </c>
      <c r="F18" s="11" t="s">
        <v>43</v>
      </c>
      <c r="G18" s="12" t="n">
        <v>1</v>
      </c>
      <c r="H18" s="12" t="n">
        <v>3</v>
      </c>
      <c r="I18" s="12" t="n">
        <v>3</v>
      </c>
      <c r="J18" s="12" t="n">
        <v>3</v>
      </c>
      <c r="K18" s="12" t="n">
        <v>3</v>
      </c>
      <c r="L18" s="12" t="n">
        <v>4</v>
      </c>
      <c r="M18" s="12" t="n">
        <v>3</v>
      </c>
      <c r="N18" s="12" t="n">
        <v>4</v>
      </c>
      <c r="O18" s="12" t="n">
        <v>3</v>
      </c>
      <c r="P18" s="12" t="n">
        <v>2</v>
      </c>
      <c r="Q18" s="12" t="n">
        <v>3</v>
      </c>
      <c r="R18" s="12" t="n">
        <v>2</v>
      </c>
      <c r="S18" s="12" t="n">
        <v>2</v>
      </c>
      <c r="T18" s="12" t="n">
        <v>3</v>
      </c>
      <c r="U18" s="12" t="n">
        <v>2</v>
      </c>
      <c r="V18" s="12" t="n">
        <v>2</v>
      </c>
      <c r="W18" s="12" t="n">
        <v>3</v>
      </c>
      <c r="X18" s="12" t="n">
        <v>2</v>
      </c>
      <c r="Y18" s="12" t="n">
        <v>2</v>
      </c>
      <c r="Z18" s="12" t="n">
        <v>2</v>
      </c>
      <c r="AA18" s="12" t="n">
        <v>2</v>
      </c>
      <c r="AB18" s="12" t="n">
        <v>2</v>
      </c>
      <c r="AC18" s="12" t="n">
        <v>1</v>
      </c>
      <c r="AD18" s="12" t="n">
        <v>3</v>
      </c>
      <c r="AE18" s="12" t="n">
        <v>2</v>
      </c>
      <c r="AF18" s="12" t="n">
        <v>2</v>
      </c>
      <c r="AG18" s="12" t="n">
        <v>3</v>
      </c>
      <c r="AH18" s="12" t="n">
        <v>2</v>
      </c>
      <c r="AI18" s="12" t="n">
        <v>3</v>
      </c>
      <c r="AJ18" s="12" t="n">
        <v>4</v>
      </c>
      <c r="AK18" s="11"/>
      <c r="AL18" s="5" t="s">
        <v>36</v>
      </c>
      <c r="AM18" s="5" t="s">
        <v>37</v>
      </c>
      <c r="AN18" s="5" t="n">
        <f aca="false">+COUNTIF($G17:$G32,"=1")+COUNTIF($H17:$H32,"=1")+COUNTIF($I17:$I32,"=1")+COUNTIF($J17:$J32,"=1")+COUNTIF($K17:$K32,"=1")+COUNTIF($L17:$L32,"=1")+COUNTIF($N17:$N32,"=1")</f>
        <v>3</v>
      </c>
      <c r="AO18" s="5" t="n">
        <f aca="false">+COUNTIF($G17:$G32,"=2")+COUNTIF($H17:$H32,"=2")+COUNTIF($I17:$I32,"=2")+COUNTIF($J17:$J32,"=2")+COUNTIF($K17:$K32,"=2")+COUNTIF($L17:$L32,"=2")+COUNTIF($N17:$N32,"=2")</f>
        <v>32</v>
      </c>
      <c r="AP18" s="5" t="n">
        <f aca="false">+COUNTIF($G17:$G32,"=3")+COUNTIF($H17:$H32,"=3")+COUNTIF($I17:$I32,"=3")+COUNTIF($J17:$J32,"=3")+COUNTIF($K17:$K32,"=3")+COUNTIF($L17:$L32,"=3")+COUNTIF($N17:$N32,"=3")</f>
        <v>48</v>
      </c>
      <c r="AQ18" s="5" t="n">
        <f aca="false">+COUNTIF($G17:$G32,"=4")+COUNTIF($H17:$H32,"=4")+COUNTIF($I17:$I32,"=4")+COUNTIF($J17:$J32,"=4")+COUNTIF($K17:$K32,"=4")+COUNTIF($L17:$L32,"=4")+COUNTIF($N17:$N32,"=4")</f>
        <v>29</v>
      </c>
      <c r="AR18" s="0"/>
      <c r="AS18" s="0" t="s">
        <v>36</v>
      </c>
      <c r="AT18" s="0" t="n">
        <v>35</v>
      </c>
      <c r="AU18" s="0" t="n">
        <v>77</v>
      </c>
      <c r="AV18" s="7" t="n">
        <f aca="false">+$AU18/$AT18</f>
        <v>2.2</v>
      </c>
      <c r="AW18" s="0" t="n">
        <v>1.96</v>
      </c>
      <c r="AX18" s="0"/>
      <c r="AY18" s="0"/>
      <c r="AZ18" s="2" t="s">
        <v>77</v>
      </c>
      <c r="BA18" s="2" t="n">
        <f aca="false">CHIINV(Sheet1!$BA$17, Sheet1!$BA$16)</f>
        <v>0.0223692437684838</v>
      </c>
      <c r="BP18" s="13" t="s">
        <v>78</v>
      </c>
      <c r="BQ18" s="13"/>
    </row>
    <row r="19" customFormat="false" ht="15" hidden="false" customHeight="false" outlineLevel="0" collapsed="false">
      <c r="A19" s="9" t="n">
        <v>45351.9458564815</v>
      </c>
      <c r="B19" s="10" t="s">
        <v>56</v>
      </c>
      <c r="C19" s="10" t="s">
        <v>74</v>
      </c>
      <c r="D19" s="10" t="n">
        <v>15</v>
      </c>
      <c r="E19" s="10" t="s">
        <v>42</v>
      </c>
      <c r="F19" s="11" t="s">
        <v>75</v>
      </c>
      <c r="G19" s="12" t="n">
        <v>3</v>
      </c>
      <c r="H19" s="12" t="n">
        <v>2</v>
      </c>
      <c r="I19" s="12" t="n">
        <v>3</v>
      </c>
      <c r="J19" s="12" t="n">
        <v>2</v>
      </c>
      <c r="K19" s="12" t="n">
        <v>2</v>
      </c>
      <c r="L19" s="12" t="n">
        <v>3</v>
      </c>
      <c r="M19" s="12" t="n">
        <v>2</v>
      </c>
      <c r="N19" s="12" t="n">
        <v>3</v>
      </c>
      <c r="O19" s="12" t="n">
        <v>4</v>
      </c>
      <c r="P19" s="12" t="n">
        <v>3</v>
      </c>
      <c r="Q19" s="12" t="n">
        <v>3</v>
      </c>
      <c r="R19" s="12" t="n">
        <v>2</v>
      </c>
      <c r="S19" s="12" t="n">
        <v>2</v>
      </c>
      <c r="T19" s="12" t="n">
        <v>3</v>
      </c>
      <c r="U19" s="12" t="n">
        <v>3</v>
      </c>
      <c r="V19" s="12" t="n">
        <v>3</v>
      </c>
      <c r="W19" s="12" t="n">
        <v>1</v>
      </c>
      <c r="X19" s="12" t="n">
        <v>3</v>
      </c>
      <c r="Y19" s="12" t="n">
        <v>2</v>
      </c>
      <c r="Z19" s="12" t="n">
        <v>4</v>
      </c>
      <c r="AA19" s="12" t="n">
        <v>4</v>
      </c>
      <c r="AB19" s="12" t="n">
        <v>2</v>
      </c>
      <c r="AC19" s="12" t="n">
        <v>3</v>
      </c>
      <c r="AD19" s="12" t="n">
        <v>3</v>
      </c>
      <c r="AE19" s="12" t="n">
        <v>3</v>
      </c>
      <c r="AF19" s="12" t="n">
        <v>2</v>
      </c>
      <c r="AG19" s="12" t="n">
        <v>3</v>
      </c>
      <c r="AH19" s="12" t="n">
        <v>3</v>
      </c>
      <c r="AI19" s="12" t="n">
        <v>3</v>
      </c>
      <c r="AJ19" s="12" t="n">
        <v>3</v>
      </c>
      <c r="AK19" s="11"/>
      <c r="AL19" s="11"/>
      <c r="AM19" s="11" t="s">
        <v>44</v>
      </c>
      <c r="AN19" s="11" t="n">
        <f aca="false">+$AN18/(16*7)</f>
        <v>0.0267857142857143</v>
      </c>
      <c r="AO19" s="11"/>
      <c r="AP19" s="11"/>
      <c r="AQ19" s="0"/>
      <c r="AR19" s="0"/>
      <c r="AS19" s="0" t="s">
        <v>45</v>
      </c>
      <c r="AT19" s="0" t="n">
        <v>83</v>
      </c>
      <c r="AU19" s="0" t="n">
        <v>61</v>
      </c>
      <c r="AV19" s="7" t="n">
        <f aca="false">+$AU19/$AT19</f>
        <v>0.734939759036145</v>
      </c>
      <c r="AW19" s="0" t="n">
        <v>0.51</v>
      </c>
      <c r="AX19" s="0"/>
      <c r="AY19" s="0"/>
      <c r="AZ19" s="2" t="s">
        <v>79</v>
      </c>
      <c r="BA19" s="2" t="n">
        <f aca="false">CHIINV(Sheet1!$BA$15, Sheet1!$BA$16)</f>
        <v>7.81472790325118</v>
      </c>
      <c r="BP19" s="13"/>
      <c r="BQ19" s="13"/>
    </row>
    <row r="20" customFormat="false" ht="15" hidden="false" customHeight="false" outlineLevel="0" collapsed="false">
      <c r="A20" s="9" t="n">
        <v>45354.0001157407</v>
      </c>
      <c r="B20" s="10" t="s">
        <v>56</v>
      </c>
      <c r="C20" s="10" t="s">
        <v>74</v>
      </c>
      <c r="D20" s="10" t="n">
        <v>15</v>
      </c>
      <c r="E20" s="10" t="s">
        <v>42</v>
      </c>
      <c r="F20" s="11" t="s">
        <v>43</v>
      </c>
      <c r="G20" s="12" t="n">
        <v>3</v>
      </c>
      <c r="H20" s="12" t="n">
        <v>4</v>
      </c>
      <c r="I20" s="12" t="n">
        <v>3</v>
      </c>
      <c r="J20" s="12" t="n">
        <v>1</v>
      </c>
      <c r="K20" s="12" t="n">
        <v>3</v>
      </c>
      <c r="L20" s="12" t="n">
        <v>3</v>
      </c>
      <c r="M20" s="12" t="n">
        <v>4</v>
      </c>
      <c r="N20" s="12" t="n">
        <v>2</v>
      </c>
      <c r="O20" s="12" t="n">
        <v>3</v>
      </c>
      <c r="P20" s="12" t="n">
        <v>3</v>
      </c>
      <c r="Q20" s="12" t="n">
        <v>3</v>
      </c>
      <c r="R20" s="12" t="n">
        <v>3</v>
      </c>
      <c r="S20" s="12" t="n">
        <v>2</v>
      </c>
      <c r="T20" s="12" t="n">
        <v>2</v>
      </c>
      <c r="U20" s="12" t="n">
        <v>3</v>
      </c>
      <c r="V20" s="12" t="n">
        <v>3</v>
      </c>
      <c r="W20" s="12" t="n">
        <v>2</v>
      </c>
      <c r="X20" s="12" t="n">
        <v>3</v>
      </c>
      <c r="Y20" s="12" t="n">
        <v>3</v>
      </c>
      <c r="Z20" s="12" t="n">
        <v>3</v>
      </c>
      <c r="AA20" s="12" t="n">
        <v>3</v>
      </c>
      <c r="AB20" s="12" t="n">
        <v>1</v>
      </c>
      <c r="AC20" s="12" t="n">
        <v>2</v>
      </c>
      <c r="AD20" s="12" t="n">
        <v>4</v>
      </c>
      <c r="AE20" s="12" t="n">
        <v>2</v>
      </c>
      <c r="AF20" s="12" t="n">
        <v>3</v>
      </c>
      <c r="AG20" s="12" t="n">
        <v>2</v>
      </c>
      <c r="AH20" s="12" t="n">
        <v>3</v>
      </c>
      <c r="AI20" s="12" t="n">
        <v>2</v>
      </c>
      <c r="AJ20" s="12" t="n">
        <v>1</v>
      </c>
      <c r="AK20" s="11"/>
      <c r="AL20" s="11"/>
      <c r="AM20" s="11" t="s">
        <v>49</v>
      </c>
      <c r="AN20" s="5" t="n">
        <f aca="false">+STDEV(($G17:$G32), ($H17:$H32),($I17:$I32),($J17:$J32),($K17:$K32),($L17:$L32),($N17:$N32))</f>
        <v>0.806933834736289</v>
      </c>
      <c r="AO20" s="11"/>
      <c r="AP20" s="11"/>
      <c r="AQ20" s="0"/>
      <c r="AR20" s="0"/>
      <c r="AS20" s="0" t="s">
        <v>50</v>
      </c>
      <c r="AT20" s="0" t="n">
        <v>69</v>
      </c>
      <c r="AU20" s="0" t="n">
        <v>59</v>
      </c>
      <c r="AV20" s="7" t="n">
        <f aca="false">+$AU20/$AT20</f>
        <v>0.855072463768116</v>
      </c>
      <c r="AW20" s="0" t="n">
        <v>0.67</v>
      </c>
      <c r="AX20" s="0"/>
      <c r="AY20" s="0"/>
      <c r="BP20" s="13" t="s">
        <v>36</v>
      </c>
      <c r="BQ20" s="13" t="n">
        <f aca="false">+(AN19+AN36)/2</f>
        <v>0.0419642857142857</v>
      </c>
    </row>
    <row r="21" customFormat="false" ht="15" hidden="false" customHeight="false" outlineLevel="0" collapsed="false">
      <c r="A21" s="9" t="n">
        <v>45363.6798263889</v>
      </c>
      <c r="B21" s="10" t="s">
        <v>47</v>
      </c>
      <c r="C21" s="10" t="s">
        <v>74</v>
      </c>
      <c r="D21" s="10" t="n">
        <v>15</v>
      </c>
      <c r="E21" s="10" t="s">
        <v>42</v>
      </c>
      <c r="F21" s="11" t="s">
        <v>48</v>
      </c>
      <c r="G21" s="12" t="n">
        <v>2</v>
      </c>
      <c r="H21" s="12" t="n">
        <v>2</v>
      </c>
      <c r="I21" s="12" t="n">
        <v>2</v>
      </c>
      <c r="J21" s="12" t="n">
        <v>2</v>
      </c>
      <c r="K21" s="12" t="n">
        <v>2</v>
      </c>
      <c r="L21" s="12" t="n">
        <v>4</v>
      </c>
      <c r="M21" s="12" t="n">
        <v>3</v>
      </c>
      <c r="N21" s="12" t="n">
        <v>3</v>
      </c>
      <c r="O21" s="12" t="n">
        <v>3</v>
      </c>
      <c r="P21" s="12" t="n">
        <v>3</v>
      </c>
      <c r="Q21" s="12" t="n">
        <v>3</v>
      </c>
      <c r="R21" s="12" t="n">
        <v>2</v>
      </c>
      <c r="S21" s="12" t="n">
        <v>1</v>
      </c>
      <c r="T21" s="12" t="n">
        <v>2</v>
      </c>
      <c r="U21" s="12" t="n">
        <v>3</v>
      </c>
      <c r="V21" s="12" t="n">
        <v>2</v>
      </c>
      <c r="W21" s="12" t="n">
        <v>3</v>
      </c>
      <c r="X21" s="12" t="n">
        <v>2</v>
      </c>
      <c r="Y21" s="12" t="n">
        <v>3</v>
      </c>
      <c r="Z21" s="12" t="n">
        <v>3</v>
      </c>
      <c r="AA21" s="12" t="n">
        <v>3</v>
      </c>
      <c r="AB21" s="12" t="n">
        <v>2</v>
      </c>
      <c r="AC21" s="12" t="n">
        <v>2</v>
      </c>
      <c r="AD21" s="12" t="n">
        <v>2</v>
      </c>
      <c r="AE21" s="12" t="n">
        <v>4</v>
      </c>
      <c r="AF21" s="12" t="n">
        <v>3</v>
      </c>
      <c r="AG21" s="12" t="n">
        <v>2</v>
      </c>
      <c r="AH21" s="12" t="n">
        <v>4</v>
      </c>
      <c r="AI21" s="12" t="n">
        <v>4</v>
      </c>
      <c r="AJ21" s="12" t="n">
        <v>3</v>
      </c>
      <c r="AK21" s="11"/>
      <c r="AL21" s="11"/>
      <c r="AM21" s="11"/>
      <c r="AN21" s="11"/>
      <c r="AO21" s="11"/>
      <c r="AP21" s="11"/>
      <c r="AQ21" s="0"/>
      <c r="AR21" s="0"/>
      <c r="AS21" s="0" t="s">
        <v>52</v>
      </c>
      <c r="AT21" s="0" t="n">
        <v>22</v>
      </c>
      <c r="AU21" s="0" t="n">
        <v>74</v>
      </c>
      <c r="AV21" s="7" t="n">
        <f aca="false">+$AU21/$AT21</f>
        <v>3.36363636363636</v>
      </c>
      <c r="AW21" s="0" t="n">
        <v>3.5</v>
      </c>
      <c r="AX21" s="0"/>
      <c r="AY21" s="0"/>
      <c r="BP21" s="13"/>
      <c r="BQ21" s="13" t="n">
        <f aca="false">+(AN20+AN37)/2</f>
        <v>0.819877094834349</v>
      </c>
    </row>
    <row r="22" customFormat="false" ht="15" hidden="false" customHeight="false" outlineLevel="0" collapsed="false">
      <c r="A22" s="9" t="n">
        <v>45363.6809606482</v>
      </c>
      <c r="B22" s="10" t="s">
        <v>47</v>
      </c>
      <c r="C22" s="10" t="s">
        <v>74</v>
      </c>
      <c r="D22" s="10" t="n">
        <v>16</v>
      </c>
      <c r="E22" s="10" t="s">
        <v>64</v>
      </c>
      <c r="F22" s="11" t="s">
        <v>48</v>
      </c>
      <c r="G22" s="12" t="n">
        <v>3</v>
      </c>
      <c r="H22" s="12" t="n">
        <v>4</v>
      </c>
      <c r="I22" s="12" t="n">
        <v>4</v>
      </c>
      <c r="J22" s="12" t="n">
        <v>2</v>
      </c>
      <c r="K22" s="12" t="n">
        <v>3</v>
      </c>
      <c r="L22" s="12" t="n">
        <v>2</v>
      </c>
      <c r="M22" s="12" t="n">
        <v>3</v>
      </c>
      <c r="N22" s="12" t="n">
        <v>3</v>
      </c>
      <c r="O22" s="12" t="n">
        <v>3</v>
      </c>
      <c r="P22" s="12" t="n">
        <v>3</v>
      </c>
      <c r="Q22" s="12" t="n">
        <v>4</v>
      </c>
      <c r="R22" s="12" t="n">
        <v>1</v>
      </c>
      <c r="S22" s="12" t="n">
        <v>1</v>
      </c>
      <c r="T22" s="12" t="n">
        <v>2</v>
      </c>
      <c r="U22" s="12" t="n">
        <v>4</v>
      </c>
      <c r="V22" s="12" t="n">
        <v>2</v>
      </c>
      <c r="W22" s="12" t="n">
        <v>3</v>
      </c>
      <c r="X22" s="12" t="n">
        <v>1</v>
      </c>
      <c r="Y22" s="12" t="n">
        <v>3</v>
      </c>
      <c r="Z22" s="12" t="n">
        <v>2</v>
      </c>
      <c r="AA22" s="12" t="n">
        <v>2</v>
      </c>
      <c r="AB22" s="12" t="n">
        <v>4</v>
      </c>
      <c r="AC22" s="12" t="n">
        <v>1</v>
      </c>
      <c r="AD22" s="12" t="n">
        <v>3</v>
      </c>
      <c r="AE22" s="12" t="n">
        <v>2</v>
      </c>
      <c r="AF22" s="12" t="n">
        <v>2</v>
      </c>
      <c r="AG22" s="12" t="n">
        <v>3</v>
      </c>
      <c r="AH22" s="12" t="n">
        <v>3</v>
      </c>
      <c r="AI22" s="12" t="n">
        <v>2</v>
      </c>
      <c r="AJ22" s="12" t="n">
        <v>1</v>
      </c>
      <c r="AK22" s="11"/>
      <c r="AL22" s="13" t="s">
        <v>45</v>
      </c>
      <c r="AM22" s="11" t="s">
        <v>37</v>
      </c>
      <c r="AN22" s="5" t="n">
        <f aca="false">+COUNTIF($Q$17:$Q$32,"=1")+COUNTIF($R$17:$R$32,"=1")+COUNTIF($S$17:$S$32,"=1")+COUNTIF($T$17:$T$32,"=1")+COUNTIF($U$17:$U$32,"=1")+COUNTIF($V$17:$V$32,"=1")+COUNTIF($W$17:$W$32,"=1")+COUNTIF($X$17:$X$32,"=1")+COUNTIF($Y$17:$Y$32,"=1")</f>
        <v>28</v>
      </c>
      <c r="AO22" s="5" t="n">
        <f aca="false">+COUNTIF($Q$17:$Q$32,"=2")+COUNTIF($R$17:$R$32,"=2")+COUNTIF($S$17:$S$32,"=2")+COUNTIF($T$17:$T$32,"=2")+COUNTIF($U$17:$U$32,"=2")+COUNTIF($V$17:$V$32,"=2")+COUNTIF($W$17:$W$32,"=2")+COUNTIF($X$17:$X$32,"=2")+COUNTIF($Y$17:$Y$32,"=2")</f>
        <v>55</v>
      </c>
      <c r="AP22" s="5" t="n">
        <f aca="false">+COUNTIF($Q$17:$Q$32,"=3")+COUNTIF($R$17:$R$32,"=3")+COUNTIF($S$17:$S$32,"=3")+COUNTIF($T$17:$T$32,"=3")+COUNTIF($U$17:$U$32,"=3")+COUNTIF($V$17:$V$32,"=3")+COUNTIF($W$17:$W$32,"=3")+COUNTIF($X$17:$X$32,"=3")+COUNTIF($Y$17:$Y$32,"=3")</f>
        <v>47</v>
      </c>
      <c r="AQ22" s="5" t="n">
        <f aca="false">+COUNTIF($Q$17:$Q$32,"=4")+COUNTIF($R$17:$R$32,"=4")+COUNTIF($S$17:$S$32,"=4")+COUNTIF($T$17:$T$32,"=4")+COUNTIF($U$17:$U$32,"=4")+COUNTIF($V$17:$V$32,"=4")+COUNTIF($W$17:$W$32,"=4")+COUNTIF($X$17:$X$32,"=4")+COUNTIF($Y$17:$Y$32,"=4")</f>
        <v>14</v>
      </c>
      <c r="AR22" s="0"/>
      <c r="AS22" s="0"/>
      <c r="AT22" s="0"/>
      <c r="AU22" s="0"/>
      <c r="AV22" s="7"/>
      <c r="AW22" s="0"/>
      <c r="AX22" s="0"/>
      <c r="AY22" s="0"/>
      <c r="BP22" s="13"/>
      <c r="BQ22" s="13"/>
    </row>
    <row r="23" customFormat="false" ht="15" hidden="false" customHeight="false" outlineLevel="0" collapsed="false">
      <c r="A23" s="9" t="n">
        <v>45363.6821759259</v>
      </c>
      <c r="B23" s="10" t="s">
        <v>47</v>
      </c>
      <c r="C23" s="10" t="s">
        <v>74</v>
      </c>
      <c r="D23" s="10" t="n">
        <v>15</v>
      </c>
      <c r="E23" s="10" t="s">
        <v>59</v>
      </c>
      <c r="F23" s="11" t="s">
        <v>48</v>
      </c>
      <c r="G23" s="12" t="n">
        <v>3</v>
      </c>
      <c r="H23" s="12" t="n">
        <v>3</v>
      </c>
      <c r="I23" s="12" t="n">
        <v>3</v>
      </c>
      <c r="J23" s="12" t="n">
        <v>1</v>
      </c>
      <c r="K23" s="12" t="n">
        <v>2</v>
      </c>
      <c r="L23" s="12" t="n">
        <v>4</v>
      </c>
      <c r="M23" s="12" t="n">
        <v>4</v>
      </c>
      <c r="N23" s="12" t="n">
        <v>4</v>
      </c>
      <c r="O23" s="12" t="n">
        <v>4</v>
      </c>
      <c r="P23" s="12" t="n">
        <v>3</v>
      </c>
      <c r="Q23" s="12" t="n">
        <v>2</v>
      </c>
      <c r="R23" s="12" t="n">
        <v>3</v>
      </c>
      <c r="S23" s="12" t="n">
        <v>1</v>
      </c>
      <c r="T23" s="12" t="n">
        <v>3</v>
      </c>
      <c r="U23" s="12" t="n">
        <v>2</v>
      </c>
      <c r="V23" s="12" t="n">
        <v>1</v>
      </c>
      <c r="W23" s="12" t="n">
        <v>2</v>
      </c>
      <c r="X23" s="12" t="n">
        <v>2</v>
      </c>
      <c r="Y23" s="12" t="n">
        <v>3</v>
      </c>
      <c r="Z23" s="12" t="n">
        <v>3</v>
      </c>
      <c r="AA23" s="12" t="n">
        <v>3</v>
      </c>
      <c r="AB23" s="12" t="n">
        <v>1</v>
      </c>
      <c r="AC23" s="12" t="n">
        <v>3</v>
      </c>
      <c r="AD23" s="12" t="n">
        <v>3</v>
      </c>
      <c r="AE23" s="12" t="n">
        <v>3</v>
      </c>
      <c r="AF23" s="12" t="n">
        <v>3</v>
      </c>
      <c r="AG23" s="12" t="n">
        <v>2</v>
      </c>
      <c r="AH23" s="12" t="n">
        <v>3</v>
      </c>
      <c r="AI23" s="12" t="n">
        <v>3</v>
      </c>
      <c r="AJ23" s="12" t="n">
        <v>3</v>
      </c>
      <c r="AK23" s="11"/>
      <c r="AL23" s="13"/>
      <c r="AM23" s="11" t="s">
        <v>44</v>
      </c>
      <c r="AN23" s="11" t="n">
        <f aca="false">+$AN22/(16*7)</f>
        <v>0.25</v>
      </c>
      <c r="AO23" s="11"/>
      <c r="AP23" s="11"/>
      <c r="AQ23" s="0"/>
      <c r="AR23" s="0"/>
      <c r="AS23" s="0"/>
      <c r="AT23" s="0"/>
      <c r="AU23" s="0"/>
      <c r="AV23" s="7"/>
      <c r="AW23" s="0"/>
      <c r="AX23" s="0"/>
      <c r="AY23" s="0"/>
      <c r="BP23" s="13"/>
      <c r="BQ23" s="13"/>
    </row>
    <row r="24" customFormat="false" ht="15" hidden="false" customHeight="false" outlineLevel="0" collapsed="false">
      <c r="A24" s="9" t="n">
        <v>45363.6821875</v>
      </c>
      <c r="B24" s="10" t="s">
        <v>47</v>
      </c>
      <c r="C24" s="10" t="s">
        <v>74</v>
      </c>
      <c r="D24" s="10" t="n">
        <v>15</v>
      </c>
      <c r="E24" s="10" t="s">
        <v>64</v>
      </c>
      <c r="F24" s="11" t="s">
        <v>48</v>
      </c>
      <c r="G24" s="12" t="n">
        <v>2</v>
      </c>
      <c r="H24" s="12" t="n">
        <v>3</v>
      </c>
      <c r="I24" s="12" t="n">
        <v>3</v>
      </c>
      <c r="J24" s="12" t="n">
        <v>2</v>
      </c>
      <c r="K24" s="12" t="n">
        <v>3</v>
      </c>
      <c r="L24" s="12" t="n">
        <v>4</v>
      </c>
      <c r="M24" s="12" t="n">
        <v>4</v>
      </c>
      <c r="N24" s="12" t="n">
        <v>4</v>
      </c>
      <c r="O24" s="12" t="n">
        <v>4</v>
      </c>
      <c r="P24" s="12" t="n">
        <v>2</v>
      </c>
      <c r="Q24" s="12" t="n">
        <v>4</v>
      </c>
      <c r="R24" s="12" t="n">
        <v>1</v>
      </c>
      <c r="S24" s="12" t="n">
        <v>1</v>
      </c>
      <c r="T24" s="12" t="n">
        <v>1</v>
      </c>
      <c r="U24" s="12" t="n">
        <v>3</v>
      </c>
      <c r="V24" s="12" t="n">
        <v>1</v>
      </c>
      <c r="W24" s="12" t="n">
        <v>3</v>
      </c>
      <c r="X24" s="12" t="n">
        <v>1</v>
      </c>
      <c r="Y24" s="12" t="n">
        <v>1</v>
      </c>
      <c r="Z24" s="12" t="n">
        <v>1</v>
      </c>
      <c r="AA24" s="12" t="n">
        <v>2</v>
      </c>
      <c r="AB24" s="12" t="n">
        <v>4</v>
      </c>
      <c r="AC24" s="12" t="n">
        <v>1</v>
      </c>
      <c r="AD24" s="12" t="n">
        <v>2</v>
      </c>
      <c r="AE24" s="12" t="n">
        <v>4</v>
      </c>
      <c r="AF24" s="12" t="n">
        <v>2</v>
      </c>
      <c r="AG24" s="12" t="n">
        <v>1</v>
      </c>
      <c r="AH24" s="12" t="n">
        <v>4</v>
      </c>
      <c r="AI24" s="12" t="n">
        <v>4</v>
      </c>
      <c r="AJ24" s="12" t="n">
        <v>2</v>
      </c>
      <c r="AK24" s="11"/>
      <c r="AL24" s="11"/>
      <c r="AM24" s="11" t="s">
        <v>49</v>
      </c>
      <c r="AN24" s="5" t="n">
        <f aca="false">+STDEV(($Q$17:$Q$32),($R$17:$R$32),($S$17:$S$32),($T$17:$T$32),($U$17:$U$32),($V$17:$V$32),($W$17:$W$32),($X$17:$X$32),($Y$17:$Y$32))</f>
        <v>0.899338226869762</v>
      </c>
      <c r="AO24" s="11"/>
      <c r="AP24" s="11"/>
      <c r="AQ24" s="0"/>
      <c r="AR24" s="0"/>
      <c r="AS24" s="0"/>
      <c r="AT24" s="0"/>
      <c r="AU24" s="0"/>
      <c r="AV24" s="7"/>
      <c r="AW24" s="0"/>
      <c r="AX24" s="0"/>
      <c r="AY24" s="0"/>
      <c r="BP24" s="13" t="s">
        <v>45</v>
      </c>
      <c r="BQ24" s="13" t="n">
        <f aca="false">+(AN23+AN40)/2</f>
        <v>0.267857142857143</v>
      </c>
    </row>
    <row r="25" customFormat="false" ht="15" hidden="false" customHeight="false" outlineLevel="0" collapsed="false">
      <c r="A25" s="9" t="n">
        <v>45363.6834375</v>
      </c>
      <c r="B25" s="10" t="s">
        <v>47</v>
      </c>
      <c r="C25" s="10" t="s">
        <v>74</v>
      </c>
      <c r="D25" s="10" t="n">
        <v>15</v>
      </c>
      <c r="E25" s="10" t="s">
        <v>59</v>
      </c>
      <c r="F25" s="11" t="s">
        <v>75</v>
      </c>
      <c r="G25" s="12" t="n">
        <v>2</v>
      </c>
      <c r="H25" s="12" t="n">
        <v>3</v>
      </c>
      <c r="I25" s="12" t="n">
        <v>2</v>
      </c>
      <c r="J25" s="12" t="n">
        <v>3</v>
      </c>
      <c r="K25" s="12" t="n">
        <v>4</v>
      </c>
      <c r="L25" s="12" t="n">
        <v>3</v>
      </c>
      <c r="M25" s="12" t="n">
        <v>3</v>
      </c>
      <c r="N25" s="12" t="n">
        <v>3</v>
      </c>
      <c r="O25" s="12" t="n">
        <v>3</v>
      </c>
      <c r="P25" s="12" t="n">
        <v>3</v>
      </c>
      <c r="Q25" s="12" t="n">
        <v>3</v>
      </c>
      <c r="R25" s="12" t="n">
        <v>2</v>
      </c>
      <c r="S25" s="12" t="n">
        <v>2</v>
      </c>
      <c r="T25" s="12" t="n">
        <v>4</v>
      </c>
      <c r="U25" s="12" t="n">
        <v>2</v>
      </c>
      <c r="V25" s="12" t="n">
        <v>2</v>
      </c>
      <c r="W25" s="12" t="n">
        <v>2</v>
      </c>
      <c r="X25" s="12" t="n">
        <v>2</v>
      </c>
      <c r="Y25" s="12" t="n">
        <v>3</v>
      </c>
      <c r="Z25" s="12" t="n">
        <v>3</v>
      </c>
      <c r="AA25" s="12" t="n">
        <v>2</v>
      </c>
      <c r="AB25" s="12" t="n">
        <v>2</v>
      </c>
      <c r="AC25" s="12" t="n">
        <v>2</v>
      </c>
      <c r="AD25" s="12" t="n">
        <v>2</v>
      </c>
      <c r="AE25" s="12" t="n">
        <v>3</v>
      </c>
      <c r="AF25" s="12" t="n">
        <v>3</v>
      </c>
      <c r="AG25" s="12" t="n">
        <v>3</v>
      </c>
      <c r="AH25" s="12" t="n">
        <v>2</v>
      </c>
      <c r="AI25" s="12" t="n">
        <v>3</v>
      </c>
      <c r="AJ25" s="12" t="n">
        <v>1</v>
      </c>
      <c r="AK25" s="11"/>
      <c r="AL25" s="11"/>
      <c r="AM25" s="11"/>
      <c r="AN25" s="5"/>
      <c r="AO25" s="11"/>
      <c r="AP25" s="11"/>
      <c r="AQ25" s="0"/>
      <c r="AR25" s="0"/>
      <c r="AS25" s="0"/>
      <c r="AT25" s="0"/>
      <c r="AU25" s="0"/>
      <c r="AV25" s="7"/>
      <c r="AW25" s="0"/>
      <c r="AX25" s="0"/>
      <c r="AY25" s="0"/>
      <c r="BP25" s="13"/>
      <c r="BQ25" s="13" t="n">
        <f aca="false">+(AN24+AN41)/2</f>
        <v>0.977056155668756</v>
      </c>
    </row>
    <row r="26" customFormat="false" ht="15" hidden="false" customHeight="false" outlineLevel="0" collapsed="false">
      <c r="A26" s="9" t="n">
        <v>45363.6856134259</v>
      </c>
      <c r="B26" s="10" t="s">
        <v>47</v>
      </c>
      <c r="C26" s="10" t="s">
        <v>74</v>
      </c>
      <c r="D26" s="10" t="n">
        <v>15</v>
      </c>
      <c r="E26" s="10" t="s">
        <v>42</v>
      </c>
      <c r="F26" s="11" t="s">
        <v>48</v>
      </c>
      <c r="G26" s="12" t="n">
        <v>3</v>
      </c>
      <c r="H26" s="12" t="n">
        <v>4</v>
      </c>
      <c r="I26" s="12" t="n">
        <v>4</v>
      </c>
      <c r="J26" s="12" t="n">
        <v>3</v>
      </c>
      <c r="K26" s="12" t="n">
        <v>3</v>
      </c>
      <c r="L26" s="12" t="n">
        <v>2</v>
      </c>
      <c r="M26" s="12" t="n">
        <v>4</v>
      </c>
      <c r="N26" s="12" t="n">
        <v>4</v>
      </c>
      <c r="O26" s="12" t="n">
        <v>3</v>
      </c>
      <c r="P26" s="12" t="n">
        <v>3</v>
      </c>
      <c r="Q26" s="12" t="n">
        <v>3</v>
      </c>
      <c r="R26" s="12" t="n">
        <v>2</v>
      </c>
      <c r="S26" s="12" t="n">
        <v>1</v>
      </c>
      <c r="T26" s="12" t="n">
        <v>3</v>
      </c>
      <c r="U26" s="12" t="n">
        <v>2</v>
      </c>
      <c r="V26" s="12" t="n">
        <v>2</v>
      </c>
      <c r="W26" s="12" t="n">
        <v>2</v>
      </c>
      <c r="X26" s="12" t="n">
        <v>3</v>
      </c>
      <c r="Y26" s="12" t="n">
        <v>2</v>
      </c>
      <c r="Z26" s="12" t="n">
        <v>3</v>
      </c>
      <c r="AA26" s="12" t="n">
        <v>2</v>
      </c>
      <c r="AB26" s="12" t="n">
        <v>2</v>
      </c>
      <c r="AC26" s="12" t="n">
        <v>2</v>
      </c>
      <c r="AD26" s="12" t="n">
        <v>3</v>
      </c>
      <c r="AE26" s="12" t="n">
        <v>2</v>
      </c>
      <c r="AF26" s="12" t="n">
        <v>2</v>
      </c>
      <c r="AG26" s="12" t="n">
        <v>1</v>
      </c>
      <c r="AH26" s="12" t="n">
        <v>2</v>
      </c>
      <c r="AI26" s="12" t="n">
        <v>3</v>
      </c>
      <c r="AJ26" s="12" t="n">
        <v>4</v>
      </c>
      <c r="AK26" s="11"/>
      <c r="AL26" s="13" t="s">
        <v>50</v>
      </c>
      <c r="AM26" s="11" t="s">
        <v>37</v>
      </c>
      <c r="AN26" s="13" t="n">
        <f aca="false">+COUNTIF($Z$17:$Z$32,"=1")+COUNTIF($AA$17:$AA$32,"=1")+COUNTIF($AB$17:$AB$32,"=1")+COUNTIF($AC$17:$AC$32,"=1")+COUNTIF($AD$17:$AD$32,"=1")+COUNTIF($AE$17:$AE$32,"=1")+COUNTIF($AF$17:$AF$32,"=1")+COUNTIF($AG$17:$AG$32,"=1")</f>
        <v>20</v>
      </c>
      <c r="AO26" s="13" t="n">
        <f aca="false">+COUNTIF($Z$17:$Z$32,"=2")+COUNTIF($AA$17:$AA$32,"=2")+COUNTIF($AB$17:$AB$32,"=2")+COUNTIF($AC$17:$AC$32,"=2")+COUNTIF($AD$17:$AD$32,"=2")+COUNTIF($AE$17:$AE$32,"=2")+COUNTIF($AF$17:$AF$32,"=2")+COUNTIF($AG$17:$AG$32,"=2")</f>
        <v>49</v>
      </c>
      <c r="AP26" s="13" t="n">
        <f aca="false">+COUNTIF($Z$17:$Z$32,"=3")+COUNTIF($AA$17:$AA$32,"=3")+COUNTIF($AB$17:$AB$32,"=3")+COUNTIF($AC$17:$AC$32,"=3")+COUNTIF($AD$17:$AD$32,"=3")+COUNTIF($AE$17:$AE$32,"=3")+COUNTIF($AF$17:$AF$32,"=3")+COUNTIF($AG$17:$AG$32,"=3")</f>
        <v>36</v>
      </c>
      <c r="AQ26" s="13" t="n">
        <f aca="false">+COUNTIF($Z$17:$Z$32,"=4")+COUNTIF($AA$17:$AA$32,"=4")+COUNTIF($AB$17:$AB$32,"=4")+COUNTIF($AC$17:$AC$32,"=4")+COUNTIF($AD$17:$AD$32,"=4")+COUNTIF($AE$17:$AE$32,"=4")+COUNTIF($AF$17:$AF$32,"=4")+COUNTIF($AG$17:$AG$32,"=4")</f>
        <v>23</v>
      </c>
      <c r="AR26" s="0"/>
      <c r="AS26" s="0"/>
      <c r="AT26" s="0"/>
      <c r="AU26" s="0"/>
      <c r="AV26" s="7"/>
      <c r="AW26" s="0"/>
      <c r="AX26" s="0"/>
      <c r="AY26" s="0"/>
      <c r="BP26" s="13"/>
      <c r="BQ26" s="13"/>
    </row>
    <row r="27" customFormat="false" ht="15" hidden="false" customHeight="false" outlineLevel="0" collapsed="false">
      <c r="A27" s="9" t="n">
        <v>45363.6858564815</v>
      </c>
      <c r="B27" s="10" t="s">
        <v>56</v>
      </c>
      <c r="C27" s="10" t="s">
        <v>74</v>
      </c>
      <c r="D27" s="10" t="n">
        <v>15</v>
      </c>
      <c r="E27" s="10" t="s">
        <v>59</v>
      </c>
      <c r="F27" s="11" t="s">
        <v>75</v>
      </c>
      <c r="G27" s="12" t="n">
        <v>3</v>
      </c>
      <c r="H27" s="12" t="n">
        <v>3</v>
      </c>
      <c r="I27" s="12" t="n">
        <v>3</v>
      </c>
      <c r="J27" s="12" t="n">
        <v>2</v>
      </c>
      <c r="K27" s="12" t="n">
        <v>3</v>
      </c>
      <c r="L27" s="12" t="n">
        <v>2</v>
      </c>
      <c r="M27" s="12" t="n">
        <v>2</v>
      </c>
      <c r="N27" s="12" t="n">
        <v>2</v>
      </c>
      <c r="O27" s="12" t="n">
        <v>3</v>
      </c>
      <c r="P27" s="12" t="n">
        <v>3</v>
      </c>
      <c r="Q27" s="12" t="n">
        <v>4</v>
      </c>
      <c r="R27" s="12" t="n">
        <v>2</v>
      </c>
      <c r="S27" s="12" t="n">
        <v>1</v>
      </c>
      <c r="T27" s="12" t="n">
        <v>2</v>
      </c>
      <c r="U27" s="12" t="n">
        <v>4</v>
      </c>
      <c r="V27" s="12" t="n">
        <v>3</v>
      </c>
      <c r="W27" s="12" t="n">
        <v>2</v>
      </c>
      <c r="X27" s="12" t="n">
        <v>2</v>
      </c>
      <c r="Y27" s="12" t="n">
        <v>2</v>
      </c>
      <c r="Z27" s="12" t="n">
        <v>3</v>
      </c>
      <c r="AA27" s="12" t="n">
        <v>2</v>
      </c>
      <c r="AB27" s="12" t="n">
        <v>2</v>
      </c>
      <c r="AC27" s="12" t="n">
        <v>2</v>
      </c>
      <c r="AD27" s="12" t="n">
        <v>3</v>
      </c>
      <c r="AE27" s="12" t="n">
        <v>3</v>
      </c>
      <c r="AF27" s="12" t="n">
        <v>2</v>
      </c>
      <c r="AG27" s="12" t="n">
        <v>1</v>
      </c>
      <c r="AH27" s="12" t="n">
        <v>3</v>
      </c>
      <c r="AI27" s="12" t="n">
        <v>3</v>
      </c>
      <c r="AJ27" s="12" t="n">
        <v>3</v>
      </c>
      <c r="AK27" s="11"/>
      <c r="AL27" s="0"/>
      <c r="AM27" s="11" t="s">
        <v>44</v>
      </c>
      <c r="AN27" s="11" t="n">
        <f aca="false">+$AN26/(16*7)</f>
        <v>0.178571428571429</v>
      </c>
      <c r="AO27" s="11"/>
      <c r="AP27" s="11"/>
      <c r="AQ27" s="0"/>
      <c r="AR27" s="0"/>
      <c r="AS27" s="0"/>
      <c r="AT27" s="0"/>
      <c r="AU27" s="0"/>
      <c r="AV27" s="7"/>
      <c r="AW27" s="0"/>
      <c r="AX27" s="0"/>
      <c r="AY27" s="0"/>
      <c r="BP27" s="13"/>
      <c r="BQ27" s="13"/>
    </row>
    <row r="28" customFormat="false" ht="15" hidden="false" customHeight="false" outlineLevel="0" collapsed="false">
      <c r="A28" s="9" t="n">
        <v>45363.6894097222</v>
      </c>
      <c r="B28" s="10" t="s">
        <v>47</v>
      </c>
      <c r="C28" s="10" t="s">
        <v>74</v>
      </c>
      <c r="D28" s="10" t="n">
        <v>17</v>
      </c>
      <c r="E28" s="10" t="s">
        <v>42</v>
      </c>
      <c r="F28" s="11" t="s">
        <v>48</v>
      </c>
      <c r="G28" s="12" t="n">
        <v>3</v>
      </c>
      <c r="H28" s="12" t="n">
        <v>2</v>
      </c>
      <c r="I28" s="12" t="n">
        <v>3</v>
      </c>
      <c r="J28" s="12" t="n">
        <v>2</v>
      </c>
      <c r="K28" s="12" t="n">
        <v>2</v>
      </c>
      <c r="L28" s="12" t="n">
        <v>2</v>
      </c>
      <c r="M28" s="12" t="n">
        <v>4</v>
      </c>
      <c r="N28" s="12" t="n">
        <v>3</v>
      </c>
      <c r="O28" s="12" t="n">
        <v>3</v>
      </c>
      <c r="P28" s="12" t="n">
        <v>2</v>
      </c>
      <c r="Q28" s="12" t="n">
        <v>2</v>
      </c>
      <c r="R28" s="12" t="n">
        <v>3</v>
      </c>
      <c r="S28" s="12" t="n">
        <v>2</v>
      </c>
      <c r="T28" s="12" t="n">
        <v>2</v>
      </c>
      <c r="U28" s="12" t="n">
        <v>2</v>
      </c>
      <c r="V28" s="12" t="n">
        <v>3</v>
      </c>
      <c r="W28" s="12" t="n">
        <v>1</v>
      </c>
      <c r="X28" s="12" t="n">
        <v>2</v>
      </c>
      <c r="Y28" s="12" t="n">
        <v>2</v>
      </c>
      <c r="Z28" s="12" t="n">
        <v>2</v>
      </c>
      <c r="AA28" s="12" t="n">
        <v>2</v>
      </c>
      <c r="AB28" s="12" t="n">
        <v>4</v>
      </c>
      <c r="AC28" s="12" t="n">
        <v>3</v>
      </c>
      <c r="AD28" s="12" t="n">
        <v>2</v>
      </c>
      <c r="AE28" s="12" t="n">
        <v>3</v>
      </c>
      <c r="AF28" s="12" t="n">
        <v>2</v>
      </c>
      <c r="AG28" s="12" t="n">
        <v>2</v>
      </c>
      <c r="AH28" s="12" t="n">
        <v>3</v>
      </c>
      <c r="AI28" s="12" t="n">
        <v>3</v>
      </c>
      <c r="AJ28" s="12" t="n">
        <v>3</v>
      </c>
      <c r="AK28" s="11"/>
      <c r="AL28" s="11"/>
      <c r="AM28" s="11" t="s">
        <v>49</v>
      </c>
      <c r="AN28" s="13" t="n">
        <f aca="false">+STDEV(($Z$17:$Z$32),($AA$17:$AA$32),($AB$17:$AB$32),($AC$17:$AC$32),($AD$17:$AD$32),($AE$17:$AE$32),($AF$17:$AF$32),($AG$17:$AG$32))</f>
        <v>0.963788252302128</v>
      </c>
      <c r="AO28" s="11"/>
      <c r="AP28" s="11"/>
      <c r="AQ28" s="0"/>
      <c r="AR28" s="0"/>
      <c r="AS28" s="0"/>
      <c r="AT28" s="0"/>
      <c r="AU28" s="0"/>
      <c r="AV28" s="7"/>
      <c r="AW28" s="0"/>
      <c r="AX28" s="0"/>
      <c r="AY28" s="0"/>
      <c r="BP28" s="13" t="s">
        <v>50</v>
      </c>
      <c r="BQ28" s="13" t="n">
        <f aca="false">+(AN27+AN44)/2</f>
        <v>0.160714285714286</v>
      </c>
    </row>
    <row r="29" customFormat="false" ht="15" hidden="false" customHeight="false" outlineLevel="0" collapsed="false">
      <c r="A29" s="9" t="n">
        <v>45363.6894560185</v>
      </c>
      <c r="B29" s="10" t="s">
        <v>56</v>
      </c>
      <c r="C29" s="10" t="s">
        <v>74</v>
      </c>
      <c r="D29" s="10" t="n">
        <v>15</v>
      </c>
      <c r="E29" s="10" t="s">
        <v>42</v>
      </c>
      <c r="F29" s="11" t="s">
        <v>75</v>
      </c>
      <c r="G29" s="12" t="n">
        <v>3</v>
      </c>
      <c r="H29" s="12" t="n">
        <v>4</v>
      </c>
      <c r="I29" s="12" t="n">
        <v>4</v>
      </c>
      <c r="J29" s="12" t="n">
        <v>2</v>
      </c>
      <c r="K29" s="12" t="n">
        <v>3</v>
      </c>
      <c r="L29" s="12" t="n">
        <v>4</v>
      </c>
      <c r="M29" s="12" t="n">
        <v>4</v>
      </c>
      <c r="N29" s="12" t="n">
        <v>4</v>
      </c>
      <c r="O29" s="12" t="n">
        <v>4</v>
      </c>
      <c r="P29" s="12" t="n">
        <v>2</v>
      </c>
      <c r="Q29" s="12" t="n">
        <v>4</v>
      </c>
      <c r="R29" s="12" t="n">
        <v>3</v>
      </c>
      <c r="S29" s="12" t="n">
        <v>1</v>
      </c>
      <c r="T29" s="12" t="n">
        <v>2</v>
      </c>
      <c r="U29" s="12" t="n">
        <v>3</v>
      </c>
      <c r="V29" s="12" t="n">
        <v>1</v>
      </c>
      <c r="W29" s="12" t="n">
        <v>3</v>
      </c>
      <c r="X29" s="12" t="n">
        <v>1</v>
      </c>
      <c r="Y29" s="12" t="n">
        <v>1</v>
      </c>
      <c r="Z29" s="12" t="n">
        <v>1</v>
      </c>
      <c r="AA29" s="12" t="n">
        <v>1</v>
      </c>
      <c r="AB29" s="12" t="n">
        <v>4</v>
      </c>
      <c r="AC29" s="12" t="n">
        <v>1</v>
      </c>
      <c r="AD29" s="12" t="n">
        <v>2</v>
      </c>
      <c r="AE29" s="12" t="n">
        <v>4</v>
      </c>
      <c r="AF29" s="12" t="n">
        <v>4</v>
      </c>
      <c r="AG29" s="12" t="n">
        <v>1</v>
      </c>
      <c r="AH29" s="12" t="n">
        <v>4</v>
      </c>
      <c r="AI29" s="12" t="n">
        <v>4</v>
      </c>
      <c r="AJ29" s="12" t="n">
        <v>4</v>
      </c>
      <c r="AK29" s="11"/>
      <c r="AL29" s="11"/>
      <c r="AM29" s="11"/>
      <c r="AN29" s="11"/>
      <c r="AO29" s="11"/>
      <c r="AP29" s="11"/>
      <c r="AQ29" s="0"/>
      <c r="AR29" s="0"/>
      <c r="AS29" s="0"/>
      <c r="AT29" s="0"/>
      <c r="AU29" s="0"/>
      <c r="AV29" s="7"/>
      <c r="AW29" s="0"/>
      <c r="AX29" s="0"/>
      <c r="AY29" s="0"/>
      <c r="BP29" s="13"/>
      <c r="BQ29" s="13" t="n">
        <f aca="false">+(AN28+AN45)/2</f>
        <v>0.921348046260055</v>
      </c>
    </row>
    <row r="30" customFormat="false" ht="15" hidden="false" customHeight="false" outlineLevel="0" collapsed="false">
      <c r="A30" s="9" t="n">
        <v>45363.6902199074</v>
      </c>
      <c r="B30" s="10" t="s">
        <v>47</v>
      </c>
      <c r="C30" s="10" t="s">
        <v>74</v>
      </c>
      <c r="D30" s="10" t="n">
        <v>15</v>
      </c>
      <c r="E30" s="10" t="s">
        <v>59</v>
      </c>
      <c r="F30" s="11" t="s">
        <v>48</v>
      </c>
      <c r="G30" s="12" t="n">
        <v>3</v>
      </c>
      <c r="H30" s="12" t="n">
        <v>4</v>
      </c>
      <c r="I30" s="12" t="n">
        <v>3</v>
      </c>
      <c r="J30" s="12" t="n">
        <v>2</v>
      </c>
      <c r="K30" s="12" t="n">
        <v>3</v>
      </c>
      <c r="L30" s="12" t="n">
        <v>2</v>
      </c>
      <c r="M30" s="12" t="n">
        <v>4</v>
      </c>
      <c r="N30" s="12" t="n">
        <v>4</v>
      </c>
      <c r="O30" s="12" t="n">
        <v>4</v>
      </c>
      <c r="P30" s="12" t="n">
        <v>1</v>
      </c>
      <c r="Q30" s="12" t="n">
        <v>2</v>
      </c>
      <c r="R30" s="12" t="n">
        <v>3</v>
      </c>
      <c r="S30" s="12" t="n">
        <v>2</v>
      </c>
      <c r="T30" s="12" t="n">
        <v>2</v>
      </c>
      <c r="U30" s="12" t="n">
        <v>3</v>
      </c>
      <c r="V30" s="12" t="n">
        <v>1</v>
      </c>
      <c r="W30" s="12" t="n">
        <v>4</v>
      </c>
      <c r="X30" s="12" t="n">
        <v>1</v>
      </c>
      <c r="Y30" s="12" t="n">
        <v>1</v>
      </c>
      <c r="Z30" s="12" t="n">
        <v>1</v>
      </c>
      <c r="AA30" s="12" t="n">
        <v>1</v>
      </c>
      <c r="AB30" s="12" t="n">
        <v>4</v>
      </c>
      <c r="AC30" s="12" t="n">
        <v>1</v>
      </c>
      <c r="AD30" s="12" t="n">
        <v>2</v>
      </c>
      <c r="AE30" s="12" t="n">
        <v>4</v>
      </c>
      <c r="AF30" s="12" t="n">
        <v>4</v>
      </c>
      <c r="AG30" s="12" t="n">
        <v>2</v>
      </c>
      <c r="AH30" s="12" t="n">
        <v>3</v>
      </c>
      <c r="AI30" s="12" t="n">
        <v>2</v>
      </c>
      <c r="AJ30" s="12" t="n">
        <v>3</v>
      </c>
      <c r="AK30" s="11"/>
      <c r="AL30" s="13" t="s">
        <v>67</v>
      </c>
      <c r="AM30" s="13"/>
      <c r="AN30" s="13" t="n">
        <f aca="false">+COUNTIF($AH$17:$AH$32,"=1")+COUNTIF($AI$17:$AI$32,"=1")+COUNTIF($AJ$17:$AJ$32,"=1")+COUNTIF($P$17:$P$32,"=1")+COUNTIF($O$17:$O$32,"=1")+COUNTIF($M$17:$M$32,"=1")</f>
        <v>5</v>
      </c>
      <c r="AO30" s="13" t="n">
        <f aca="false">+COUNTIF($AH$17:$AH$32,"=2")+COUNTIF($AI$17:$AI$32,"=2")+COUNTIF($AJ$17:$AJ$32,"=2")+COUNTIF($P$17:$P$32,"=2")+COUNTIF($O$17:$O$32,"=2")+COUNTIF($M$17:$M$32,"=2")</f>
        <v>17</v>
      </c>
      <c r="AP30" s="13" t="n">
        <f aca="false">+COUNTIF($AH$17:$AH$32,"=3")+COUNTIF($AI$17:$AI$32,"=3")+COUNTIF($AJ$17:$AJ$32,"=3")+COUNTIF($P$17:$P$32,"=3")+COUNTIF($O$17:$O$32,"=3")+COUNTIF($M$17:$M$32,"=3")</f>
        <v>46</v>
      </c>
      <c r="AQ30" s="13" t="n">
        <f aca="false">+COUNTIF($AH$17:$AH$32,"=4")+COUNTIF($AI$17:$AI$32,"=4")+COUNTIF($AJ$17:$AJ$32,"=4")+COUNTIF($P$17:$P$32,"=4")+COUNTIF($O$17:$O$32,"=4")+COUNTIF($M$17:$M$32,"=4")</f>
        <v>28</v>
      </c>
      <c r="AR30" s="0"/>
      <c r="AS30" s="0"/>
      <c r="AT30" s="0"/>
      <c r="AU30" s="0"/>
      <c r="AV30" s="7"/>
      <c r="AW30" s="0"/>
      <c r="AX30" s="0"/>
      <c r="AY30" s="0"/>
      <c r="BP30" s="11"/>
      <c r="BQ30" s="11"/>
    </row>
    <row r="31" customFormat="false" ht="15" hidden="false" customHeight="false" outlineLevel="0" collapsed="false">
      <c r="A31" s="9" t="n">
        <v>45363.6930555556</v>
      </c>
      <c r="B31" s="10" t="s">
        <v>56</v>
      </c>
      <c r="C31" s="10" t="s">
        <v>74</v>
      </c>
      <c r="D31" s="10" t="n">
        <v>15</v>
      </c>
      <c r="E31" s="10" t="s">
        <v>42</v>
      </c>
      <c r="F31" s="11" t="s">
        <v>48</v>
      </c>
      <c r="G31" s="12" t="n">
        <v>3</v>
      </c>
      <c r="H31" s="12" t="n">
        <v>3</v>
      </c>
      <c r="I31" s="12" t="n">
        <v>4</v>
      </c>
      <c r="J31" s="12" t="n">
        <v>2</v>
      </c>
      <c r="K31" s="12" t="n">
        <v>2</v>
      </c>
      <c r="L31" s="12" t="n">
        <v>4</v>
      </c>
      <c r="M31" s="12" t="n">
        <v>4</v>
      </c>
      <c r="N31" s="12" t="n">
        <v>4</v>
      </c>
      <c r="O31" s="12" t="n">
        <v>4</v>
      </c>
      <c r="P31" s="12" t="n">
        <v>3</v>
      </c>
      <c r="Q31" s="12" t="n">
        <v>4</v>
      </c>
      <c r="R31" s="12" t="n">
        <v>4</v>
      </c>
      <c r="S31" s="12" t="n">
        <v>2</v>
      </c>
      <c r="T31" s="12" t="n">
        <v>1</v>
      </c>
      <c r="U31" s="12" t="n">
        <v>3</v>
      </c>
      <c r="V31" s="12" t="n">
        <v>1</v>
      </c>
      <c r="W31" s="12" t="n">
        <v>4</v>
      </c>
      <c r="X31" s="12" t="n">
        <v>2</v>
      </c>
      <c r="Y31" s="12" t="n">
        <v>1</v>
      </c>
      <c r="Z31" s="12" t="n">
        <v>2</v>
      </c>
      <c r="AA31" s="12" t="n">
        <v>2</v>
      </c>
      <c r="AB31" s="12" t="n">
        <v>4</v>
      </c>
      <c r="AC31" s="12" t="n">
        <v>1</v>
      </c>
      <c r="AD31" s="12" t="n">
        <v>2</v>
      </c>
      <c r="AE31" s="12" t="n">
        <v>4</v>
      </c>
      <c r="AF31" s="12" t="n">
        <v>3</v>
      </c>
      <c r="AG31" s="12" t="n">
        <v>1</v>
      </c>
      <c r="AH31" s="12" t="n">
        <v>4</v>
      </c>
      <c r="AI31" s="12" t="n">
        <v>4</v>
      </c>
      <c r="AJ31" s="12" t="n">
        <v>4</v>
      </c>
      <c r="AK31" s="11"/>
      <c r="AL31" s="13"/>
      <c r="AM31" s="13"/>
      <c r="AN31" s="13" t="n">
        <f aca="false">+$AN30/(16*7)</f>
        <v>0.0446428571428571</v>
      </c>
      <c r="AO31" s="11"/>
      <c r="AP31" s="11"/>
      <c r="AQ31" s="11"/>
      <c r="AR31" s="11"/>
    </row>
    <row r="32" s="26" customFormat="true" ht="15" hidden="false" customHeight="false" outlineLevel="0" collapsed="false">
      <c r="A32" s="22" t="n">
        <v>45363.6948148148</v>
      </c>
      <c r="B32" s="23" t="s">
        <v>47</v>
      </c>
      <c r="C32" s="23" t="s">
        <v>74</v>
      </c>
      <c r="D32" s="23" t="n">
        <v>15</v>
      </c>
      <c r="E32" s="23" t="s">
        <v>42</v>
      </c>
      <c r="F32" s="24" t="s">
        <v>48</v>
      </c>
      <c r="G32" s="25" t="n">
        <v>3</v>
      </c>
      <c r="H32" s="25" t="n">
        <v>2</v>
      </c>
      <c r="I32" s="25" t="n">
        <v>4</v>
      </c>
      <c r="J32" s="25" t="n">
        <v>3</v>
      </c>
      <c r="K32" s="25" t="n">
        <v>3</v>
      </c>
      <c r="L32" s="25" t="n">
        <v>4</v>
      </c>
      <c r="M32" s="25" t="n">
        <v>2</v>
      </c>
      <c r="N32" s="25" t="n">
        <v>3</v>
      </c>
      <c r="O32" s="25" t="n">
        <v>3</v>
      </c>
      <c r="P32" s="25" t="n">
        <v>4</v>
      </c>
      <c r="Q32" s="25" t="n">
        <v>3</v>
      </c>
      <c r="R32" s="25" t="n">
        <v>1</v>
      </c>
      <c r="S32" s="25" t="n">
        <v>3</v>
      </c>
      <c r="T32" s="25" t="n">
        <v>4</v>
      </c>
      <c r="U32" s="25" t="n">
        <v>3</v>
      </c>
      <c r="V32" s="25" t="n">
        <v>3</v>
      </c>
      <c r="W32" s="25" t="n">
        <v>2</v>
      </c>
      <c r="X32" s="25" t="n">
        <v>4</v>
      </c>
      <c r="Y32" s="25" t="n">
        <v>4</v>
      </c>
      <c r="Z32" s="25" t="n">
        <v>4</v>
      </c>
      <c r="AA32" s="25" t="n">
        <v>2</v>
      </c>
      <c r="AB32" s="25" t="n">
        <v>4</v>
      </c>
      <c r="AC32" s="25" t="n">
        <v>2</v>
      </c>
      <c r="AD32" s="25" t="n">
        <v>4</v>
      </c>
      <c r="AE32" s="25" t="n">
        <v>1</v>
      </c>
      <c r="AF32" s="25" t="n">
        <v>4</v>
      </c>
      <c r="AG32" s="25" t="n">
        <v>3</v>
      </c>
      <c r="AH32" s="25" t="n">
        <v>2</v>
      </c>
      <c r="AI32" s="25" t="n">
        <v>2</v>
      </c>
      <c r="AJ32" s="25" t="n">
        <v>4</v>
      </c>
      <c r="AK32" s="24"/>
      <c r="AL32" s="24"/>
      <c r="AM32" s="24"/>
      <c r="AN32" s="24"/>
      <c r="AO32" s="24"/>
      <c r="AP32" s="24"/>
      <c r="AQ32" s="24"/>
      <c r="AR32" s="24"/>
      <c r="AV32" s="27"/>
      <c r="AMJ32" s="28"/>
    </row>
    <row r="33" customFormat="false" ht="15" hidden="false" customHeight="false" outlineLevel="0" collapsed="false">
      <c r="A33" s="9" t="n">
        <v>45356.8841782407</v>
      </c>
      <c r="B33" s="10" t="s">
        <v>40</v>
      </c>
      <c r="C33" s="10" t="s">
        <v>80</v>
      </c>
      <c r="D33" s="10" t="n">
        <v>16</v>
      </c>
      <c r="E33" s="10" t="s">
        <v>42</v>
      </c>
      <c r="F33" s="11" t="s">
        <v>75</v>
      </c>
      <c r="G33" s="12" t="n">
        <v>3</v>
      </c>
      <c r="H33" s="12" t="n">
        <v>3</v>
      </c>
      <c r="I33" s="12" t="n">
        <v>4</v>
      </c>
      <c r="J33" s="12" t="n">
        <v>3</v>
      </c>
      <c r="K33" s="12" t="n">
        <v>3</v>
      </c>
      <c r="L33" s="12" t="n">
        <v>2</v>
      </c>
      <c r="M33" s="12" t="n">
        <v>3</v>
      </c>
      <c r="N33" s="12" t="n">
        <v>2</v>
      </c>
      <c r="O33" s="12" t="n">
        <v>3</v>
      </c>
      <c r="P33" s="12" t="n">
        <v>2</v>
      </c>
      <c r="Q33" s="12" t="n">
        <v>4</v>
      </c>
      <c r="R33" s="12" t="n">
        <v>2</v>
      </c>
      <c r="S33" s="12" t="n">
        <v>1</v>
      </c>
      <c r="T33" s="12" t="n">
        <v>2</v>
      </c>
      <c r="U33" s="12" t="n">
        <v>3</v>
      </c>
      <c r="V33" s="12" t="n">
        <v>2</v>
      </c>
      <c r="W33" s="12" t="n">
        <v>3</v>
      </c>
      <c r="X33" s="12" t="n">
        <v>2</v>
      </c>
      <c r="Y33" s="12" t="n">
        <v>2</v>
      </c>
      <c r="Z33" s="12" t="n">
        <v>4</v>
      </c>
      <c r="AA33" s="12" t="n">
        <v>4</v>
      </c>
      <c r="AB33" s="12" t="n">
        <v>2</v>
      </c>
      <c r="AC33" s="12" t="n">
        <v>2</v>
      </c>
      <c r="AD33" s="12" t="n">
        <v>2</v>
      </c>
      <c r="AE33" s="12" t="n">
        <v>4</v>
      </c>
      <c r="AF33" s="12" t="n">
        <v>2</v>
      </c>
      <c r="AG33" s="12" t="n">
        <v>3</v>
      </c>
      <c r="AH33" s="12" t="n">
        <v>3</v>
      </c>
      <c r="AI33" s="12" t="n">
        <v>3</v>
      </c>
      <c r="AJ33" s="12" t="n">
        <v>4</v>
      </c>
      <c r="AK33" s="11"/>
      <c r="AL33" s="11"/>
      <c r="AM33" s="11"/>
      <c r="AN33" s="11"/>
      <c r="AO33" s="11"/>
      <c r="AP33" s="11"/>
      <c r="AQ33" s="11"/>
      <c r="AR33" s="11"/>
    </row>
    <row r="34" customFormat="false" ht="15" hidden="false" customHeight="false" outlineLevel="0" collapsed="false">
      <c r="A34" s="9" t="n">
        <v>45356.8845023148</v>
      </c>
      <c r="B34" s="10" t="s">
        <v>56</v>
      </c>
      <c r="C34" s="10" t="s">
        <v>80</v>
      </c>
      <c r="D34" s="10" t="n">
        <v>17</v>
      </c>
      <c r="E34" s="10" t="s">
        <v>42</v>
      </c>
      <c r="F34" s="11" t="s">
        <v>48</v>
      </c>
      <c r="G34" s="12" t="n">
        <v>2</v>
      </c>
      <c r="H34" s="12" t="n">
        <v>2</v>
      </c>
      <c r="I34" s="12" t="n">
        <v>2</v>
      </c>
      <c r="J34" s="12" t="n">
        <v>2</v>
      </c>
      <c r="K34" s="12" t="n">
        <v>3</v>
      </c>
      <c r="L34" s="12" t="n">
        <v>4</v>
      </c>
      <c r="M34" s="12" t="n">
        <v>4</v>
      </c>
      <c r="N34" s="12" t="n">
        <v>3</v>
      </c>
      <c r="O34" s="12" t="n">
        <v>3</v>
      </c>
      <c r="P34" s="12" t="n">
        <v>3</v>
      </c>
      <c r="Q34" s="12" t="n">
        <v>4</v>
      </c>
      <c r="R34" s="12" t="n">
        <v>1</v>
      </c>
      <c r="S34" s="12" t="n">
        <v>1</v>
      </c>
      <c r="T34" s="12" t="n">
        <v>4</v>
      </c>
      <c r="U34" s="12" t="n">
        <v>1</v>
      </c>
      <c r="V34" s="12" t="n">
        <v>2</v>
      </c>
      <c r="W34" s="12" t="n">
        <v>3</v>
      </c>
      <c r="X34" s="12" t="n">
        <v>2</v>
      </c>
      <c r="Y34" s="12" t="n">
        <v>3</v>
      </c>
      <c r="Z34" s="12" t="n">
        <v>2</v>
      </c>
      <c r="AA34" s="12" t="n">
        <v>3</v>
      </c>
      <c r="AB34" s="12" t="n">
        <v>2</v>
      </c>
      <c r="AC34" s="12" t="n">
        <v>2</v>
      </c>
      <c r="AD34" s="12" t="n">
        <v>3</v>
      </c>
      <c r="AE34" s="12" t="n">
        <v>1</v>
      </c>
      <c r="AF34" s="12" t="n">
        <v>2</v>
      </c>
      <c r="AG34" s="12" t="n">
        <v>2</v>
      </c>
      <c r="AH34" s="12" t="n">
        <v>3</v>
      </c>
      <c r="AI34" s="12" t="n">
        <v>3</v>
      </c>
      <c r="AJ34" s="12" t="n">
        <v>4</v>
      </c>
      <c r="AK34" s="11"/>
      <c r="AL34" s="11"/>
      <c r="AM34" s="11"/>
      <c r="AN34" s="11"/>
      <c r="AO34" s="11"/>
      <c r="AP34" s="11"/>
      <c r="AQ34" s="11"/>
      <c r="AR34" s="11"/>
    </row>
    <row r="35" customFormat="false" ht="15" hidden="false" customHeight="false" outlineLevel="0" collapsed="false">
      <c r="A35" s="9" t="n">
        <v>45356.8852083333</v>
      </c>
      <c r="B35" s="10" t="s">
        <v>56</v>
      </c>
      <c r="C35" s="10" t="s">
        <v>80</v>
      </c>
      <c r="D35" s="10" t="n">
        <v>17</v>
      </c>
      <c r="E35" s="10" t="s">
        <v>42</v>
      </c>
      <c r="F35" s="11" t="s">
        <v>48</v>
      </c>
      <c r="G35" s="12" t="n">
        <v>3</v>
      </c>
      <c r="H35" s="12" t="n">
        <v>2</v>
      </c>
      <c r="I35" s="12" t="n">
        <v>3</v>
      </c>
      <c r="J35" s="12" t="n">
        <v>3</v>
      </c>
      <c r="K35" s="12" t="n">
        <v>3</v>
      </c>
      <c r="L35" s="12" t="n">
        <v>2</v>
      </c>
      <c r="M35" s="12" t="n">
        <v>3</v>
      </c>
      <c r="N35" s="12" t="n">
        <v>3</v>
      </c>
      <c r="O35" s="12" t="n">
        <v>2</v>
      </c>
      <c r="P35" s="12" t="n">
        <v>2</v>
      </c>
      <c r="Q35" s="12" t="n">
        <v>4</v>
      </c>
      <c r="R35" s="12" t="n">
        <v>2</v>
      </c>
      <c r="S35" s="12" t="n">
        <v>2</v>
      </c>
      <c r="T35" s="12" t="n">
        <v>2</v>
      </c>
      <c r="U35" s="12" t="n">
        <v>4</v>
      </c>
      <c r="V35" s="12" t="n">
        <v>2</v>
      </c>
      <c r="W35" s="12" t="n">
        <v>4</v>
      </c>
      <c r="X35" s="12" t="n">
        <v>2</v>
      </c>
      <c r="Y35" s="12" t="n">
        <v>1</v>
      </c>
      <c r="Z35" s="12" t="n">
        <v>2</v>
      </c>
      <c r="AA35" s="12" t="n">
        <v>3</v>
      </c>
      <c r="AB35" s="12" t="n">
        <v>3</v>
      </c>
      <c r="AC35" s="12" t="n">
        <v>2</v>
      </c>
      <c r="AD35" s="12" t="n">
        <v>3</v>
      </c>
      <c r="AE35" s="12" t="n">
        <v>3</v>
      </c>
      <c r="AF35" s="12" t="n">
        <v>2</v>
      </c>
      <c r="AG35" s="12" t="n">
        <v>3</v>
      </c>
      <c r="AH35" s="12" t="n">
        <v>4</v>
      </c>
      <c r="AI35" s="12" t="n">
        <v>4</v>
      </c>
      <c r="AJ35" s="12" t="n">
        <v>1</v>
      </c>
      <c r="AK35" s="11"/>
      <c r="AL35" s="5" t="s">
        <v>36</v>
      </c>
      <c r="AM35" s="5" t="s">
        <v>37</v>
      </c>
      <c r="AN35" s="5" t="n">
        <f aca="false">+COUNTIF($G33:$G47,"=1")+COUNTIF($H33:$H47,"=1")+COUNTIF($I33:$I47,"=1")+COUNTIF($J33:$J47,"=1")+COUNTIF($K33:$K47,"=1")+COUNTIF($L33:$L47,"=1")+COUNTIF($N33:$N47,"=1")</f>
        <v>6</v>
      </c>
      <c r="AO35" s="5" t="n">
        <f aca="false">+COUNTIF($G33:$G47,"=2")+COUNTIF($H33:$H47,"=2")+COUNTIF($I33:$I47,"=2")+COUNTIF($J33:$J47,"=2")+COUNTIF($K33:$K47,"=2")+COUNTIF($L33:$L47,"=2")+COUNTIF($N33:$N47,"=2")</f>
        <v>26</v>
      </c>
      <c r="AP35" s="5" t="n">
        <f aca="false">+COUNTIF($G33:$G47,"=3")+COUNTIF($H33:$H47,"=3")+COUNTIF($I33:$I47,"=3")+COUNTIF($J33:$J47,"=3")+COUNTIF($K33:$K47,"=3")+COUNTIF($L33:$L47,"=3")+COUNTIF($N33:$N47,"=3")</f>
        <v>49</v>
      </c>
      <c r="AQ35" s="5" t="n">
        <f aca="false">+COUNTIF($G33:$G47,"=4")+COUNTIF($H33:$H47,"=4")+COUNTIF($I33:$I47,"=4")+COUNTIF($J33:$J47,"=4")+COUNTIF($K33:$K47,"=4")+COUNTIF($L33:$L47,"=4")+COUNTIF($N33:$N47,"=4")</f>
        <v>24</v>
      </c>
      <c r="AR35" s="11"/>
      <c r="AS35" s="0" t="s">
        <v>36</v>
      </c>
      <c r="AT35" s="2" t="n">
        <v>32</v>
      </c>
      <c r="AU35" s="2" t="n">
        <v>73</v>
      </c>
      <c r="AV35" s="7" t="n">
        <f aca="false">+$AU35/$AT35</f>
        <v>2.28125</v>
      </c>
      <c r="AW35" s="2" t="n">
        <v>2.17</v>
      </c>
    </row>
    <row r="36" customFormat="false" ht="15" hidden="false" customHeight="false" outlineLevel="0" collapsed="false">
      <c r="A36" s="9" t="n">
        <v>45356.8869097222</v>
      </c>
      <c r="B36" s="10" t="s">
        <v>56</v>
      </c>
      <c r="C36" s="10" t="s">
        <v>80</v>
      </c>
      <c r="D36" s="10" t="n">
        <v>16</v>
      </c>
      <c r="E36" s="10" t="s">
        <v>42</v>
      </c>
      <c r="F36" s="11" t="s">
        <v>43</v>
      </c>
      <c r="G36" s="12" t="n">
        <v>2</v>
      </c>
      <c r="H36" s="12" t="n">
        <v>3</v>
      </c>
      <c r="I36" s="12" t="n">
        <v>3</v>
      </c>
      <c r="J36" s="12" t="n">
        <v>3</v>
      </c>
      <c r="K36" s="12" t="n">
        <v>2</v>
      </c>
      <c r="L36" s="12" t="n">
        <v>3</v>
      </c>
      <c r="M36" s="12" t="n">
        <v>3</v>
      </c>
      <c r="N36" s="12" t="n">
        <v>2</v>
      </c>
      <c r="O36" s="12" t="n">
        <v>3</v>
      </c>
      <c r="P36" s="12" t="n">
        <v>3</v>
      </c>
      <c r="Q36" s="12" t="n">
        <v>2</v>
      </c>
      <c r="R36" s="12" t="n">
        <v>4</v>
      </c>
      <c r="S36" s="12" t="n">
        <v>2</v>
      </c>
      <c r="T36" s="12" t="n">
        <v>1</v>
      </c>
      <c r="U36" s="12" t="n">
        <v>1</v>
      </c>
      <c r="V36" s="12" t="n">
        <v>1</v>
      </c>
      <c r="W36" s="12" t="n">
        <v>4</v>
      </c>
      <c r="X36" s="12" t="n">
        <v>2</v>
      </c>
      <c r="Y36" s="12" t="n">
        <v>3</v>
      </c>
      <c r="Z36" s="12" t="n">
        <v>2</v>
      </c>
      <c r="AA36" s="12" t="n">
        <v>2</v>
      </c>
      <c r="AB36" s="12" t="n">
        <v>2</v>
      </c>
      <c r="AC36" s="12" t="n">
        <v>2</v>
      </c>
      <c r="AD36" s="12" t="n">
        <v>3</v>
      </c>
      <c r="AE36" s="12" t="n">
        <v>3</v>
      </c>
      <c r="AF36" s="12" t="n">
        <v>2</v>
      </c>
      <c r="AG36" s="12" t="n">
        <v>3</v>
      </c>
      <c r="AH36" s="12" t="n">
        <v>3</v>
      </c>
      <c r="AI36" s="12" t="n">
        <v>4</v>
      </c>
      <c r="AJ36" s="12" t="n">
        <v>4</v>
      </c>
      <c r="AK36" s="11"/>
      <c r="AL36" s="11"/>
      <c r="AM36" s="11" t="s">
        <v>44</v>
      </c>
      <c r="AN36" s="11" t="n">
        <f aca="false">+$AN35/(15*7)</f>
        <v>0.0571428571428571</v>
      </c>
      <c r="AO36" s="11"/>
      <c r="AP36" s="11"/>
      <c r="AQ36" s="11"/>
      <c r="AR36" s="11"/>
      <c r="AS36" s="0" t="s">
        <v>45</v>
      </c>
      <c r="AT36" s="2" t="n">
        <v>75</v>
      </c>
      <c r="AU36" s="2" t="n">
        <v>60</v>
      </c>
      <c r="AV36" s="7" t="n">
        <f aca="false">+$AU36/$AT36</f>
        <v>0.8</v>
      </c>
      <c r="AW36" s="2" t="n">
        <v>0.59</v>
      </c>
    </row>
    <row r="37" customFormat="false" ht="15" hidden="false" customHeight="false" outlineLevel="0" collapsed="false">
      <c r="A37" s="9" t="n">
        <v>45356.8874652778</v>
      </c>
      <c r="B37" s="10" t="s">
        <v>47</v>
      </c>
      <c r="C37" s="10" t="s">
        <v>80</v>
      </c>
      <c r="D37" s="10" t="n">
        <v>17</v>
      </c>
      <c r="E37" s="10" t="s">
        <v>42</v>
      </c>
      <c r="F37" s="11" t="s">
        <v>48</v>
      </c>
      <c r="G37" s="12" t="n">
        <v>3</v>
      </c>
      <c r="H37" s="12" t="n">
        <v>2</v>
      </c>
      <c r="I37" s="12" t="n">
        <v>3</v>
      </c>
      <c r="J37" s="12" t="n">
        <v>3</v>
      </c>
      <c r="K37" s="12" t="n">
        <v>2</v>
      </c>
      <c r="L37" s="12" t="n">
        <v>4</v>
      </c>
      <c r="M37" s="12" t="n">
        <v>3</v>
      </c>
      <c r="N37" s="12" t="n">
        <v>2</v>
      </c>
      <c r="O37" s="12" t="n">
        <v>2</v>
      </c>
      <c r="P37" s="12" t="n">
        <v>4</v>
      </c>
      <c r="Q37" s="12" t="n">
        <v>1</v>
      </c>
      <c r="R37" s="12" t="n">
        <v>3</v>
      </c>
      <c r="S37" s="12" t="n">
        <v>4</v>
      </c>
      <c r="T37" s="12" t="n">
        <v>4</v>
      </c>
      <c r="U37" s="12" t="n">
        <v>3</v>
      </c>
      <c r="V37" s="12" t="n">
        <v>4</v>
      </c>
      <c r="W37" s="12" t="n">
        <v>2</v>
      </c>
      <c r="X37" s="12" t="n">
        <v>3</v>
      </c>
      <c r="Y37" s="12" t="n">
        <v>3</v>
      </c>
      <c r="Z37" s="12" t="n">
        <v>3</v>
      </c>
      <c r="AA37" s="12" t="n">
        <v>4</v>
      </c>
      <c r="AB37" s="12" t="n">
        <v>3</v>
      </c>
      <c r="AC37" s="12" t="n">
        <v>4</v>
      </c>
      <c r="AD37" s="12" t="n">
        <v>4</v>
      </c>
      <c r="AE37" s="12" t="n">
        <v>2</v>
      </c>
      <c r="AF37" s="12" t="n">
        <v>3</v>
      </c>
      <c r="AG37" s="12" t="n">
        <v>1</v>
      </c>
      <c r="AH37" s="12" t="n">
        <v>4</v>
      </c>
      <c r="AI37" s="12" t="n">
        <v>2</v>
      </c>
      <c r="AJ37" s="12" t="n">
        <v>3</v>
      </c>
      <c r="AK37" s="11"/>
      <c r="AL37" s="11"/>
      <c r="AM37" s="11" t="s">
        <v>49</v>
      </c>
      <c r="AN37" s="5" t="n">
        <f aca="false">+STDEV(($G33:$G47), ($H33:$H47),($I33:$I47),($J33:$J47),($K33:$K47),($L33:$L47),($N33:$N47))</f>
        <v>0.832820354932409</v>
      </c>
      <c r="AO37" s="11"/>
      <c r="AP37" s="11"/>
      <c r="AQ37" s="11"/>
      <c r="AR37" s="11"/>
      <c r="AS37" s="0" t="s">
        <v>50</v>
      </c>
      <c r="AT37" s="2" t="n">
        <v>64</v>
      </c>
      <c r="AU37" s="2" t="n">
        <v>56</v>
      </c>
      <c r="AV37" s="7" t="n">
        <f aca="false">+$AU37/$AT37</f>
        <v>0.875</v>
      </c>
      <c r="AW37" s="2" t="n">
        <v>0.73</v>
      </c>
    </row>
    <row r="38" customFormat="false" ht="15" hidden="false" customHeight="false" outlineLevel="0" collapsed="false">
      <c r="A38" s="9" t="n">
        <v>45356.8875578704</v>
      </c>
      <c r="B38" s="10" t="s">
        <v>56</v>
      </c>
      <c r="C38" s="10" t="s">
        <v>80</v>
      </c>
      <c r="D38" s="10" t="n">
        <v>17</v>
      </c>
      <c r="E38" s="10" t="s">
        <v>42</v>
      </c>
      <c r="F38" s="11" t="s">
        <v>48</v>
      </c>
      <c r="G38" s="12" t="n">
        <v>3</v>
      </c>
      <c r="H38" s="12" t="n">
        <v>4</v>
      </c>
      <c r="I38" s="12" t="n">
        <v>3</v>
      </c>
      <c r="J38" s="12" t="n">
        <v>2</v>
      </c>
      <c r="K38" s="12" t="n">
        <v>3</v>
      </c>
      <c r="L38" s="12" t="n">
        <v>2</v>
      </c>
      <c r="M38" s="12" t="n">
        <v>1</v>
      </c>
      <c r="N38" s="12" t="n">
        <v>1</v>
      </c>
      <c r="O38" s="12" t="n">
        <v>3</v>
      </c>
      <c r="P38" s="12" t="n">
        <v>3</v>
      </c>
      <c r="Q38" s="12" t="n">
        <v>4</v>
      </c>
      <c r="R38" s="12" t="n">
        <v>1</v>
      </c>
      <c r="S38" s="12" t="n">
        <v>2</v>
      </c>
      <c r="T38" s="12" t="n">
        <v>2</v>
      </c>
      <c r="U38" s="12" t="n">
        <v>4</v>
      </c>
      <c r="V38" s="12" t="n">
        <v>2</v>
      </c>
      <c r="W38" s="12" t="n">
        <v>3</v>
      </c>
      <c r="X38" s="12" t="n">
        <v>1</v>
      </c>
      <c r="Y38" s="12" t="n">
        <v>1</v>
      </c>
      <c r="Z38" s="12" t="n">
        <v>3</v>
      </c>
      <c r="AA38" s="12" t="n">
        <v>2</v>
      </c>
      <c r="AB38" s="12" t="n">
        <v>2</v>
      </c>
      <c r="AC38" s="12" t="n">
        <v>1</v>
      </c>
      <c r="AD38" s="12" t="n">
        <v>2</v>
      </c>
      <c r="AE38" s="12" t="n">
        <v>2</v>
      </c>
      <c r="AF38" s="12" t="n">
        <v>3</v>
      </c>
      <c r="AG38" s="12" t="n">
        <v>1</v>
      </c>
      <c r="AH38" s="12" t="n">
        <v>4</v>
      </c>
      <c r="AI38" s="12" t="n">
        <v>3</v>
      </c>
      <c r="AJ38" s="12" t="n">
        <v>3</v>
      </c>
      <c r="AK38" s="11"/>
      <c r="AL38" s="11"/>
      <c r="AM38" s="11"/>
      <c r="AN38" s="11"/>
      <c r="AO38" s="11"/>
      <c r="AP38" s="11"/>
      <c r="AQ38" s="11"/>
      <c r="AR38" s="11"/>
      <c r="AS38" s="0" t="s">
        <v>52</v>
      </c>
      <c r="AT38" s="2" t="n">
        <v>26</v>
      </c>
      <c r="AU38" s="2" t="n">
        <v>64</v>
      </c>
      <c r="AV38" s="7" t="n">
        <f aca="false">+$AU38/$AT38</f>
        <v>2.46153846153846</v>
      </c>
      <c r="AW38" s="2" t="n">
        <v>2.73</v>
      </c>
    </row>
    <row r="39" customFormat="false" ht="15" hidden="false" customHeight="false" outlineLevel="0" collapsed="false">
      <c r="A39" s="9" t="n">
        <v>45356.8877893519</v>
      </c>
      <c r="B39" s="10" t="s">
        <v>47</v>
      </c>
      <c r="C39" s="10" t="s">
        <v>80</v>
      </c>
      <c r="D39" s="10" t="n">
        <v>17</v>
      </c>
      <c r="E39" s="10" t="s">
        <v>42</v>
      </c>
      <c r="F39" s="11" t="s">
        <v>48</v>
      </c>
      <c r="G39" s="12" t="n">
        <v>3</v>
      </c>
      <c r="H39" s="12" t="n">
        <v>3</v>
      </c>
      <c r="I39" s="12" t="n">
        <v>4</v>
      </c>
      <c r="J39" s="12" t="n">
        <v>3</v>
      </c>
      <c r="K39" s="12" t="n">
        <v>3</v>
      </c>
      <c r="L39" s="12" t="n">
        <v>1</v>
      </c>
      <c r="M39" s="12" t="n">
        <v>4</v>
      </c>
      <c r="N39" s="12" t="n">
        <v>4</v>
      </c>
      <c r="O39" s="12" t="n">
        <v>4</v>
      </c>
      <c r="P39" s="12" t="n">
        <v>3</v>
      </c>
      <c r="Q39" s="12" t="n">
        <v>4</v>
      </c>
      <c r="R39" s="12" t="n">
        <v>1</v>
      </c>
      <c r="S39" s="12" t="n">
        <v>1</v>
      </c>
      <c r="T39" s="12" t="n">
        <v>1</v>
      </c>
      <c r="U39" s="12" t="n">
        <v>4</v>
      </c>
      <c r="V39" s="12" t="n">
        <v>1</v>
      </c>
      <c r="W39" s="12" t="n">
        <v>4</v>
      </c>
      <c r="X39" s="12" t="n">
        <v>2</v>
      </c>
      <c r="Y39" s="12" t="n">
        <v>2</v>
      </c>
      <c r="Z39" s="12" t="n">
        <v>1</v>
      </c>
      <c r="AA39" s="12" t="n">
        <v>2</v>
      </c>
      <c r="AB39" s="12" t="n">
        <v>1</v>
      </c>
      <c r="AC39" s="12" t="n">
        <v>1</v>
      </c>
      <c r="AD39" s="12" t="n">
        <v>1</v>
      </c>
      <c r="AE39" s="12" t="n">
        <v>2</v>
      </c>
      <c r="AF39" s="12" t="n">
        <v>4</v>
      </c>
      <c r="AG39" s="12" t="n">
        <v>2</v>
      </c>
      <c r="AH39" s="12" t="n">
        <v>3</v>
      </c>
      <c r="AI39" s="12" t="n">
        <v>2</v>
      </c>
      <c r="AJ39" s="12" t="n">
        <v>2</v>
      </c>
      <c r="AK39" s="11"/>
      <c r="AL39" s="13" t="s">
        <v>45</v>
      </c>
      <c r="AM39" s="11" t="s">
        <v>37</v>
      </c>
      <c r="AN39" s="5" t="n">
        <f aca="false">+COUNTIF($Q$33:$Q$47,"=1")+COUNTIF($R$33:$R$47,"=1")+COUNTIF($S$33:$S$47,"=1")+COUNTIF($T$33:$T$47,"=1")+COUNTIF($U$33:$U$47,"=1")+COUNTIF($V$33:$V$47,"=1")+COUNTIF($W$33:$W$47,"=1")+COUNTIF($X$33:$X$47,"=1")+COUNTIF($Y$33:$Y$47,"=1")</f>
        <v>30</v>
      </c>
      <c r="AO39" s="5" t="n">
        <f aca="false">+COUNTIF($Q$33:$Q$47,"=2")+COUNTIF($R$33:$R$47,"=2")+COUNTIF($S$33:$S$47,"=2")+COUNTIF($T$33:$T$47,"=2")+COUNTIF($U$33:$U$47,"=2")+COUNTIF($V$33:$V$47,"=2")+COUNTIF($W$33:$W$47,"=2")+COUNTIF($X$33:$X$47,"=2")+COUNTIF($Y$33:$Y$47,"=2")</f>
        <v>45</v>
      </c>
      <c r="AP39" s="5" t="n">
        <f aca="false">+COUNTIF($Q$33:$Q$47,"=3")+COUNTIF($R$33:$R$47,"=3")+COUNTIF($S$33:$S$47,"=3")+COUNTIF($T$33:$T$47,"=3")+COUNTIF($U$33:$U$47,"=3")+COUNTIF($V$33:$V$47,"=3")+COUNTIF($W$33:$W$47,"=3")+COUNTIF($X$33:$X$47,"=3")+COUNTIF($Y$33:$Y$47,"=3")</f>
        <v>32</v>
      </c>
      <c r="AQ39" s="5" t="n">
        <f aca="false">+COUNTIF($Q$33:$Q$47,"=4")+COUNTIF($R$33:$R$47,"=4")+COUNTIF($S$33:$S$47,"=4")+COUNTIF($T$33:$T$47,"=4")+COUNTIF($U$33:$U$47,"=4")+COUNTIF($V$33:$V$47,"=4")+COUNTIF($W$33:$W$47,"=4")+COUNTIF($X$33:$X$47,"=4")+COUNTIF($Y$33:$Y$47,"=4")</f>
        <v>28</v>
      </c>
      <c r="AR39" s="11"/>
    </row>
    <row r="40" customFormat="false" ht="15" hidden="false" customHeight="false" outlineLevel="0" collapsed="false">
      <c r="A40" s="9" t="n">
        <v>45356.8879050926</v>
      </c>
      <c r="B40" s="10" t="s">
        <v>56</v>
      </c>
      <c r="C40" s="10" t="s">
        <v>80</v>
      </c>
      <c r="D40" s="10" t="n">
        <v>17</v>
      </c>
      <c r="E40" s="10" t="s">
        <v>42</v>
      </c>
      <c r="F40" s="11" t="s">
        <v>48</v>
      </c>
      <c r="G40" s="12" t="n">
        <v>3</v>
      </c>
      <c r="H40" s="12" t="n">
        <v>4</v>
      </c>
      <c r="I40" s="12" t="n">
        <v>3</v>
      </c>
      <c r="J40" s="12" t="n">
        <v>2</v>
      </c>
      <c r="K40" s="12" t="n">
        <v>4</v>
      </c>
      <c r="L40" s="12" t="n">
        <v>4</v>
      </c>
      <c r="M40" s="12" t="n">
        <v>4</v>
      </c>
      <c r="N40" s="12" t="n">
        <v>3</v>
      </c>
      <c r="O40" s="12" t="n">
        <v>3</v>
      </c>
      <c r="P40" s="12" t="n">
        <v>2</v>
      </c>
      <c r="Q40" s="12" t="n">
        <v>3</v>
      </c>
      <c r="R40" s="12" t="n">
        <v>1</v>
      </c>
      <c r="S40" s="12" t="n">
        <v>2</v>
      </c>
      <c r="T40" s="12" t="n">
        <v>2</v>
      </c>
      <c r="U40" s="12" t="n">
        <v>3</v>
      </c>
      <c r="V40" s="12" t="n">
        <v>1</v>
      </c>
      <c r="W40" s="12" t="n">
        <v>1</v>
      </c>
      <c r="X40" s="12" t="n">
        <v>3</v>
      </c>
      <c r="Y40" s="12" t="n">
        <v>2</v>
      </c>
      <c r="Z40" s="12" t="n">
        <v>2</v>
      </c>
      <c r="AA40" s="12" t="n">
        <v>3</v>
      </c>
      <c r="AB40" s="12" t="n">
        <v>3</v>
      </c>
      <c r="AC40" s="12" t="n">
        <v>2</v>
      </c>
      <c r="AD40" s="12" t="n">
        <v>3</v>
      </c>
      <c r="AE40" s="12" t="n">
        <v>4</v>
      </c>
      <c r="AF40" s="12" t="n">
        <v>2</v>
      </c>
      <c r="AG40" s="12" t="n">
        <v>1</v>
      </c>
      <c r="AH40" s="12" t="n">
        <v>3</v>
      </c>
      <c r="AI40" s="12" t="n">
        <v>4</v>
      </c>
      <c r="AJ40" s="12" t="n">
        <v>1</v>
      </c>
      <c r="AK40" s="11"/>
      <c r="AL40" s="13"/>
      <c r="AM40" s="11" t="s">
        <v>44</v>
      </c>
      <c r="AN40" s="11" t="n">
        <f aca="false">+$AN39/(15*7)</f>
        <v>0.285714285714286</v>
      </c>
      <c r="AO40" s="11"/>
      <c r="AP40" s="11"/>
      <c r="AQ40" s="11"/>
      <c r="AR40" s="11"/>
    </row>
    <row r="41" customFormat="false" ht="15" hidden="false" customHeight="false" outlineLevel="0" collapsed="false">
      <c r="A41" s="9" t="n">
        <v>45356.8890625</v>
      </c>
      <c r="B41" s="10" t="s">
        <v>56</v>
      </c>
      <c r="C41" s="10" t="s">
        <v>80</v>
      </c>
      <c r="D41" s="10" t="n">
        <v>16</v>
      </c>
      <c r="E41" s="10" t="s">
        <v>59</v>
      </c>
      <c r="F41" s="11" t="s">
        <v>43</v>
      </c>
      <c r="G41" s="12" t="n">
        <v>4</v>
      </c>
      <c r="H41" s="12" t="n">
        <v>3</v>
      </c>
      <c r="I41" s="12" t="n">
        <v>4</v>
      </c>
      <c r="J41" s="12" t="n">
        <v>2</v>
      </c>
      <c r="K41" s="12" t="n">
        <v>3</v>
      </c>
      <c r="L41" s="12" t="n">
        <v>4</v>
      </c>
      <c r="M41" s="12" t="n">
        <v>4</v>
      </c>
      <c r="N41" s="12" t="n">
        <v>3</v>
      </c>
      <c r="O41" s="12" t="n">
        <v>3</v>
      </c>
      <c r="P41" s="12" t="n">
        <v>3</v>
      </c>
      <c r="Q41" s="12" t="n">
        <v>3</v>
      </c>
      <c r="R41" s="12" t="n">
        <v>1</v>
      </c>
      <c r="S41" s="12" t="n">
        <v>2</v>
      </c>
      <c r="T41" s="12" t="n">
        <v>2</v>
      </c>
      <c r="U41" s="12" t="n">
        <v>4</v>
      </c>
      <c r="V41" s="12" t="n">
        <v>2</v>
      </c>
      <c r="W41" s="12" t="n">
        <v>3</v>
      </c>
      <c r="X41" s="12" t="n">
        <v>2</v>
      </c>
      <c r="Y41" s="12" t="n">
        <v>2</v>
      </c>
      <c r="Z41" s="12" t="n">
        <v>3</v>
      </c>
      <c r="AA41" s="12" t="n">
        <v>3</v>
      </c>
      <c r="AB41" s="12" t="n">
        <v>2</v>
      </c>
      <c r="AC41" s="12" t="n">
        <v>3</v>
      </c>
      <c r="AD41" s="12" t="n">
        <v>2</v>
      </c>
      <c r="AE41" s="12" t="n">
        <v>3</v>
      </c>
      <c r="AF41" s="12" t="n">
        <v>2</v>
      </c>
      <c r="AG41" s="12" t="n">
        <v>2</v>
      </c>
      <c r="AH41" s="12" t="n">
        <v>3</v>
      </c>
      <c r="AI41" s="12" t="n">
        <v>4</v>
      </c>
      <c r="AJ41" s="12" t="n">
        <v>2</v>
      </c>
      <c r="AK41" s="11"/>
      <c r="AL41" s="11"/>
      <c r="AM41" s="11" t="s">
        <v>49</v>
      </c>
      <c r="AN41" s="5" t="n">
        <f aca="false">+STDEV(($Q$33:$Q$47),($R$33:$R$47),($S$33:$S$47),($T$33:$T$47),($U$33:$U$47),($V$33:$V$47),($W$33:$W$47),($X$33:$X$47),($Y$33:$Y$47))</f>
        <v>1.05477408446775</v>
      </c>
      <c r="AO41" s="11"/>
      <c r="AP41" s="11"/>
      <c r="AQ41" s="11"/>
      <c r="AR41" s="11"/>
    </row>
    <row r="42" customFormat="false" ht="15" hidden="false" customHeight="false" outlineLevel="0" collapsed="false">
      <c r="A42" s="9" t="n">
        <v>45356.8890625</v>
      </c>
      <c r="B42" s="10" t="s">
        <v>56</v>
      </c>
      <c r="C42" s="10" t="s">
        <v>80</v>
      </c>
      <c r="D42" s="10" t="n">
        <v>17</v>
      </c>
      <c r="E42" s="10" t="s">
        <v>42</v>
      </c>
      <c r="F42" s="11" t="s">
        <v>48</v>
      </c>
      <c r="G42" s="12" t="n">
        <v>3</v>
      </c>
      <c r="H42" s="12" t="n">
        <v>2</v>
      </c>
      <c r="I42" s="12" t="n">
        <v>3</v>
      </c>
      <c r="J42" s="12" t="n">
        <v>4</v>
      </c>
      <c r="K42" s="12" t="n">
        <v>1</v>
      </c>
      <c r="L42" s="12" t="n">
        <v>3</v>
      </c>
      <c r="M42" s="12" t="n">
        <v>2</v>
      </c>
      <c r="N42" s="12" t="n">
        <v>4</v>
      </c>
      <c r="O42" s="12" t="n">
        <v>2</v>
      </c>
      <c r="P42" s="12" t="n">
        <v>3</v>
      </c>
      <c r="Q42" s="12" t="n">
        <v>3</v>
      </c>
      <c r="R42" s="12" t="n">
        <v>2</v>
      </c>
      <c r="S42" s="12" t="n">
        <v>3</v>
      </c>
      <c r="T42" s="12" t="n">
        <v>2</v>
      </c>
      <c r="U42" s="12" t="n">
        <v>2</v>
      </c>
      <c r="V42" s="12" t="n">
        <v>1</v>
      </c>
      <c r="W42" s="12" t="n">
        <v>4</v>
      </c>
      <c r="X42" s="12" t="n">
        <v>2</v>
      </c>
      <c r="Y42" s="12" t="n">
        <v>1</v>
      </c>
      <c r="Z42" s="12" t="n">
        <v>1</v>
      </c>
      <c r="AA42" s="12" t="n">
        <v>3</v>
      </c>
      <c r="AB42" s="12" t="n">
        <v>2</v>
      </c>
      <c r="AC42" s="12" t="n">
        <v>1</v>
      </c>
      <c r="AD42" s="12" t="n">
        <v>3</v>
      </c>
      <c r="AE42" s="12" t="n">
        <v>2</v>
      </c>
      <c r="AF42" s="12" t="n">
        <v>2</v>
      </c>
      <c r="AG42" s="12" t="n">
        <v>2</v>
      </c>
      <c r="AH42" s="12" t="n">
        <v>4</v>
      </c>
      <c r="AI42" s="12" t="n">
        <v>2</v>
      </c>
      <c r="AJ42" s="12" t="n">
        <v>2</v>
      </c>
      <c r="AK42" s="11"/>
      <c r="AL42" s="11"/>
      <c r="AM42" s="11"/>
      <c r="AN42" s="5"/>
      <c r="AO42" s="11"/>
      <c r="AP42" s="11"/>
      <c r="AQ42" s="11"/>
      <c r="AR42" s="11"/>
    </row>
    <row r="43" customFormat="false" ht="15" hidden="false" customHeight="false" outlineLevel="0" collapsed="false">
      <c r="A43" s="9" t="n">
        <v>45356.8897569444</v>
      </c>
      <c r="B43" s="10" t="s">
        <v>56</v>
      </c>
      <c r="C43" s="10" t="s">
        <v>80</v>
      </c>
      <c r="D43" s="10" t="n">
        <v>17</v>
      </c>
      <c r="E43" s="10" t="s">
        <v>59</v>
      </c>
      <c r="F43" s="11" t="s">
        <v>75</v>
      </c>
      <c r="G43" s="12" t="n">
        <v>4</v>
      </c>
      <c r="H43" s="12" t="n">
        <v>3</v>
      </c>
      <c r="I43" s="12" t="n">
        <v>4</v>
      </c>
      <c r="J43" s="12" t="n">
        <v>2</v>
      </c>
      <c r="K43" s="12" t="n">
        <v>4</v>
      </c>
      <c r="L43" s="12" t="n">
        <v>1</v>
      </c>
      <c r="M43" s="12" t="n">
        <v>4</v>
      </c>
      <c r="N43" s="12" t="n">
        <v>1</v>
      </c>
      <c r="O43" s="12" t="n">
        <v>1</v>
      </c>
      <c r="P43" s="12" t="n">
        <v>4</v>
      </c>
      <c r="Q43" s="12" t="n">
        <v>3</v>
      </c>
      <c r="R43" s="12" t="n">
        <v>4</v>
      </c>
      <c r="S43" s="12" t="n">
        <v>3</v>
      </c>
      <c r="T43" s="12" t="n">
        <v>4</v>
      </c>
      <c r="U43" s="12" t="n">
        <v>1</v>
      </c>
      <c r="V43" s="12" t="n">
        <v>4</v>
      </c>
      <c r="W43" s="12" t="n">
        <v>1</v>
      </c>
      <c r="X43" s="12" t="n">
        <v>4</v>
      </c>
      <c r="Y43" s="12" t="n">
        <v>4</v>
      </c>
      <c r="Z43" s="12" t="n">
        <v>4</v>
      </c>
      <c r="AA43" s="12" t="n">
        <v>4</v>
      </c>
      <c r="AB43" s="12" t="n">
        <v>1</v>
      </c>
      <c r="AC43" s="12" t="n">
        <v>4</v>
      </c>
      <c r="AD43" s="12" t="n">
        <v>4</v>
      </c>
      <c r="AE43" s="12" t="n">
        <v>1</v>
      </c>
      <c r="AF43" s="12" t="n">
        <v>1</v>
      </c>
      <c r="AG43" s="12" t="n">
        <v>4</v>
      </c>
      <c r="AH43" s="12" t="n">
        <v>1</v>
      </c>
      <c r="AI43" s="12" t="n">
        <v>1</v>
      </c>
      <c r="AJ43" s="12" t="n">
        <v>1</v>
      </c>
      <c r="AK43" s="11"/>
      <c r="AL43" s="13" t="s">
        <v>50</v>
      </c>
      <c r="AM43" s="11" t="s">
        <v>37</v>
      </c>
      <c r="AN43" s="13" t="n">
        <f aca="false">+COUNTIF($Z$33:$Z$47,"=1")+COUNTIF($AA$33:$AA$47,"=1")+COUNTIF($AB$33:$AB$47,"=1")+COUNTIF($AC$33:$AC$47,"=1")+COUNTIF($AD$33:$AD$47,"=1")+COUNTIF($AE$33:$AE$47,"=1")+COUNTIF($AF$33:$AF$47,"=1")+COUNTIF($AG$33:$AG$47,"=1")</f>
        <v>15</v>
      </c>
      <c r="AO43" s="13" t="n">
        <f aca="false">+COUNTIF($Z$33:$Z$47,"=2")+COUNTIF($AA$33:$AA$47,"=2")+COUNTIF($AB$33:$AB$47,"=2")+COUNTIF($AC$33:$AC$47,"=2")+COUNTIF($AD$33:$AD$47,"=2")+COUNTIF($AE$33:$AE$47,"=2")+COUNTIF($AF$33:$AF$47,"=2")+COUNTIF($AG$33:$AG$47,"=2")</f>
        <v>49</v>
      </c>
      <c r="AP43" s="13" t="n">
        <f aca="false">+COUNTIF($Z$33:$Z$47,"=3")+COUNTIF($AA$33:$AA$47,"=3")+COUNTIF($AB$33:$AB$47,"=3")+COUNTIF($AC$33:$AC$47,"=3")+COUNTIF($AD$33:$AD$47,"=3")+COUNTIF($AE$33:$AE$47,"=3")+COUNTIF($AF$33:$AF$47,"=3")+COUNTIF($AG$33:$AG$47,"=3")</f>
        <v>40</v>
      </c>
      <c r="AQ43" s="13" t="n">
        <f aca="false">+COUNTIF($Z$33:$Z$47,"=4")+COUNTIF($AA$33:$AA$47,"=4")+COUNTIF($AB$33:$AB$47,"=4")+COUNTIF($AC$33:$AC$47,"=4")+COUNTIF($AD$33:$AD$47,"=4")+COUNTIF($AE$33:$AE$47,"=4")+COUNTIF($AF$33:$AF$47,"=4")+COUNTIF($AG$33:$AG$47,"=4")</f>
        <v>16</v>
      </c>
      <c r="AR43" s="11"/>
    </row>
    <row r="44" customFormat="false" ht="15" hidden="false" customHeight="false" outlineLevel="0" collapsed="false">
      <c r="A44" s="9" t="n">
        <v>45356.8900578704</v>
      </c>
      <c r="B44" s="10" t="s">
        <v>56</v>
      </c>
      <c r="C44" s="10" t="s">
        <v>80</v>
      </c>
      <c r="D44" s="10" t="n">
        <v>17</v>
      </c>
      <c r="E44" s="10" t="s">
        <v>42</v>
      </c>
      <c r="F44" s="11" t="s">
        <v>75</v>
      </c>
      <c r="G44" s="12" t="n">
        <v>4</v>
      </c>
      <c r="H44" s="12" t="n">
        <v>4</v>
      </c>
      <c r="I44" s="12" t="n">
        <v>3</v>
      </c>
      <c r="J44" s="12" t="n">
        <v>3</v>
      </c>
      <c r="K44" s="12" t="n">
        <v>2</v>
      </c>
      <c r="L44" s="12" t="n">
        <v>3</v>
      </c>
      <c r="M44" s="12" t="n">
        <v>3</v>
      </c>
      <c r="N44" s="12" t="n">
        <v>2</v>
      </c>
      <c r="O44" s="12" t="n">
        <v>3</v>
      </c>
      <c r="P44" s="12" t="n">
        <v>3</v>
      </c>
      <c r="Q44" s="12" t="n">
        <v>3</v>
      </c>
      <c r="R44" s="12" t="n">
        <v>4</v>
      </c>
      <c r="S44" s="12" t="n">
        <v>2</v>
      </c>
      <c r="T44" s="12" t="n">
        <v>3</v>
      </c>
      <c r="U44" s="12" t="n">
        <v>2</v>
      </c>
      <c r="V44" s="12" t="n">
        <v>3</v>
      </c>
      <c r="W44" s="12" t="n">
        <v>1</v>
      </c>
      <c r="X44" s="12" t="n">
        <v>3</v>
      </c>
      <c r="Y44" s="12" t="n">
        <v>4</v>
      </c>
      <c r="Z44" s="12" t="n">
        <v>3</v>
      </c>
      <c r="AA44" s="12" t="n">
        <v>2</v>
      </c>
      <c r="AB44" s="12" t="n">
        <v>3</v>
      </c>
      <c r="AC44" s="12" t="n">
        <v>3</v>
      </c>
      <c r="AD44" s="12" t="n">
        <v>3</v>
      </c>
      <c r="AE44" s="12" t="n">
        <v>2</v>
      </c>
      <c r="AF44" s="12" t="n">
        <v>2</v>
      </c>
      <c r="AG44" s="12" t="n">
        <v>2</v>
      </c>
      <c r="AH44" s="12" t="n">
        <v>2</v>
      </c>
      <c r="AI44" s="12" t="n">
        <v>2</v>
      </c>
      <c r="AJ44" s="12" t="n">
        <v>3</v>
      </c>
      <c r="AK44" s="11"/>
      <c r="AL44" s="0"/>
      <c r="AM44" s="11" t="s">
        <v>44</v>
      </c>
      <c r="AN44" s="11" t="n">
        <f aca="false">+$AN43/(15*7)</f>
        <v>0.142857142857143</v>
      </c>
      <c r="AO44" s="11"/>
      <c r="AP44" s="11"/>
      <c r="AQ44" s="11"/>
      <c r="AR44" s="11"/>
    </row>
    <row r="45" customFormat="false" ht="15" hidden="false" customHeight="false" outlineLevel="0" collapsed="false">
      <c r="A45" s="9" t="n">
        <v>45356.8906944444</v>
      </c>
      <c r="B45" s="10" t="s">
        <v>47</v>
      </c>
      <c r="C45" s="10" t="s">
        <v>80</v>
      </c>
      <c r="D45" s="10" t="n">
        <v>17</v>
      </c>
      <c r="E45" s="10" t="s">
        <v>42</v>
      </c>
      <c r="F45" s="11" t="s">
        <v>48</v>
      </c>
      <c r="G45" s="12" t="n">
        <v>2</v>
      </c>
      <c r="H45" s="12" t="n">
        <v>3</v>
      </c>
      <c r="I45" s="12" t="n">
        <v>4</v>
      </c>
      <c r="J45" s="12" t="n">
        <v>3</v>
      </c>
      <c r="K45" s="12" t="n">
        <v>1</v>
      </c>
      <c r="L45" s="12" t="n">
        <v>3</v>
      </c>
      <c r="M45" s="12" t="n">
        <v>4</v>
      </c>
      <c r="N45" s="12" t="n">
        <v>4</v>
      </c>
      <c r="O45" s="12" t="n">
        <v>3</v>
      </c>
      <c r="P45" s="12" t="n">
        <v>3</v>
      </c>
      <c r="Q45" s="12" t="n">
        <v>4</v>
      </c>
      <c r="R45" s="12" t="n">
        <v>2</v>
      </c>
      <c r="S45" s="12" t="n">
        <v>1</v>
      </c>
      <c r="T45" s="12" t="n">
        <v>3</v>
      </c>
      <c r="U45" s="12" t="n">
        <v>3</v>
      </c>
      <c r="V45" s="12" t="n">
        <v>3</v>
      </c>
      <c r="W45" s="12" t="n">
        <v>1</v>
      </c>
      <c r="X45" s="12" t="n">
        <v>3</v>
      </c>
      <c r="Y45" s="12" t="n">
        <v>2</v>
      </c>
      <c r="Z45" s="12" t="n">
        <v>3</v>
      </c>
      <c r="AA45" s="12" t="n">
        <v>2</v>
      </c>
      <c r="AB45" s="12" t="n">
        <v>2</v>
      </c>
      <c r="AC45" s="12" t="n">
        <v>3</v>
      </c>
      <c r="AD45" s="12" t="n">
        <v>3</v>
      </c>
      <c r="AE45" s="12" t="n">
        <v>2</v>
      </c>
      <c r="AF45" s="12" t="n">
        <v>3</v>
      </c>
      <c r="AG45" s="12" t="n">
        <v>3</v>
      </c>
      <c r="AH45" s="12" t="n">
        <v>4</v>
      </c>
      <c r="AI45" s="12" t="n">
        <v>2</v>
      </c>
      <c r="AJ45" s="12" t="n">
        <v>2</v>
      </c>
      <c r="AK45" s="11"/>
      <c r="AL45" s="11"/>
      <c r="AM45" s="11" t="s">
        <v>49</v>
      </c>
      <c r="AN45" s="13" t="n">
        <f aca="false">+STDEV(($Z$33:$Z$47),($AA$33:$AA$47),($AB$33:$AB$47),($AC$33:$AC$47),($AD$33:$AD$47),($AE$33:$AE$47),($AF$33:$AF$47),($AG$33:$AG$47))</f>
        <v>0.878907840217983</v>
      </c>
      <c r="AO45" s="11"/>
      <c r="AP45" s="11"/>
      <c r="AQ45" s="11"/>
      <c r="AR45" s="11"/>
    </row>
    <row r="46" customFormat="false" ht="15" hidden="false" customHeight="false" outlineLevel="0" collapsed="false">
      <c r="A46" s="9" t="n">
        <v>45356.8908564815</v>
      </c>
      <c r="B46" s="10" t="s">
        <v>56</v>
      </c>
      <c r="C46" s="10" t="s">
        <v>80</v>
      </c>
      <c r="D46" s="10" t="n">
        <v>16</v>
      </c>
      <c r="E46" s="10" t="s">
        <v>59</v>
      </c>
      <c r="F46" s="11" t="s">
        <v>48</v>
      </c>
      <c r="G46" s="12" t="n">
        <v>3</v>
      </c>
      <c r="H46" s="12" t="n">
        <v>4</v>
      </c>
      <c r="I46" s="12" t="n">
        <v>4</v>
      </c>
      <c r="J46" s="12" t="n">
        <v>3</v>
      </c>
      <c r="K46" s="12" t="n">
        <v>3</v>
      </c>
      <c r="L46" s="12" t="n">
        <v>3</v>
      </c>
      <c r="M46" s="12" t="n">
        <v>3</v>
      </c>
      <c r="N46" s="12" t="n">
        <v>2</v>
      </c>
      <c r="O46" s="12" t="n">
        <v>2</v>
      </c>
      <c r="P46" s="12" t="n">
        <v>3</v>
      </c>
      <c r="Q46" s="12" t="n">
        <v>2</v>
      </c>
      <c r="R46" s="12" t="n">
        <v>1</v>
      </c>
      <c r="S46" s="12" t="n">
        <v>2</v>
      </c>
      <c r="T46" s="12" t="n">
        <v>3</v>
      </c>
      <c r="U46" s="12" t="n">
        <v>4</v>
      </c>
      <c r="V46" s="12" t="n">
        <v>2</v>
      </c>
      <c r="W46" s="12" t="n">
        <v>3</v>
      </c>
      <c r="X46" s="12" t="n">
        <v>2</v>
      </c>
      <c r="Y46" s="12" t="n">
        <v>2</v>
      </c>
      <c r="Z46" s="12" t="n">
        <v>3</v>
      </c>
      <c r="AA46" s="12" t="n">
        <v>4</v>
      </c>
      <c r="AB46" s="12" t="n">
        <v>2</v>
      </c>
      <c r="AC46" s="12" t="n">
        <v>1</v>
      </c>
      <c r="AD46" s="12" t="n">
        <v>4</v>
      </c>
      <c r="AE46" s="12" t="n">
        <v>2</v>
      </c>
      <c r="AF46" s="12" t="n">
        <v>2</v>
      </c>
      <c r="AG46" s="12" t="n">
        <v>4</v>
      </c>
      <c r="AH46" s="12" t="n">
        <v>3</v>
      </c>
      <c r="AI46" s="12" t="n">
        <v>3</v>
      </c>
      <c r="AJ46" s="12" t="n">
        <v>4</v>
      </c>
      <c r="AK46" s="11"/>
      <c r="AL46" s="11"/>
      <c r="AM46" s="11"/>
      <c r="AN46" s="11"/>
      <c r="AO46" s="11"/>
      <c r="AP46" s="11"/>
      <c r="AQ46" s="11"/>
      <c r="AR46" s="11"/>
    </row>
    <row r="47" s="20" customFormat="true" ht="15" hidden="false" customHeight="false" outlineLevel="0" collapsed="false">
      <c r="A47" s="22" t="n">
        <v>45356.8924884259</v>
      </c>
      <c r="B47" s="23" t="s">
        <v>56</v>
      </c>
      <c r="C47" s="23" t="s">
        <v>80</v>
      </c>
      <c r="D47" s="23" t="n">
        <v>17</v>
      </c>
      <c r="E47" s="23" t="s">
        <v>42</v>
      </c>
      <c r="F47" s="24" t="s">
        <v>75</v>
      </c>
      <c r="G47" s="25" t="n">
        <v>3</v>
      </c>
      <c r="H47" s="25" t="n">
        <v>3</v>
      </c>
      <c r="I47" s="25" t="n">
        <v>3</v>
      </c>
      <c r="J47" s="25" t="n">
        <v>2</v>
      </c>
      <c r="K47" s="25" t="n">
        <v>2</v>
      </c>
      <c r="L47" s="25" t="n">
        <v>4</v>
      </c>
      <c r="M47" s="25" t="n">
        <v>4</v>
      </c>
      <c r="N47" s="25" t="n">
        <v>3</v>
      </c>
      <c r="O47" s="25" t="n">
        <v>4</v>
      </c>
      <c r="P47" s="25" t="n">
        <v>2</v>
      </c>
      <c r="Q47" s="25" t="n">
        <v>4</v>
      </c>
      <c r="R47" s="25" t="n">
        <v>1</v>
      </c>
      <c r="S47" s="25" t="n">
        <v>1</v>
      </c>
      <c r="T47" s="25" t="n">
        <v>3</v>
      </c>
      <c r="U47" s="25" t="n">
        <v>2</v>
      </c>
      <c r="V47" s="25" t="n">
        <v>2</v>
      </c>
      <c r="W47" s="25" t="n">
        <v>3</v>
      </c>
      <c r="X47" s="25" t="n">
        <v>2</v>
      </c>
      <c r="Y47" s="25" t="n">
        <v>3</v>
      </c>
      <c r="Z47" s="25" t="n">
        <v>3</v>
      </c>
      <c r="AA47" s="25" t="n">
        <v>3</v>
      </c>
      <c r="AB47" s="25" t="n">
        <v>2</v>
      </c>
      <c r="AC47" s="25" t="n">
        <v>2</v>
      </c>
      <c r="AD47" s="25" t="n">
        <v>2</v>
      </c>
      <c r="AE47" s="25" t="n">
        <v>3</v>
      </c>
      <c r="AF47" s="25" t="n">
        <v>3</v>
      </c>
      <c r="AG47" s="25" t="n">
        <v>3</v>
      </c>
      <c r="AH47" s="25" t="n">
        <v>3</v>
      </c>
      <c r="AI47" s="25" t="n">
        <v>3</v>
      </c>
      <c r="AJ47" s="25" t="n">
        <v>4</v>
      </c>
      <c r="AK47" s="24"/>
      <c r="AL47" s="29" t="s">
        <v>67</v>
      </c>
      <c r="AM47" s="29"/>
      <c r="AN47" s="13" t="n">
        <f aca="false">+COUNTIF($AH$33:$AH$47,"=1")+COUNTIF($AI$33:$AI$47,"=1")+COUNTIF($AJ$33:$AJ$47,"=1")+COUNTIF($P$33:$P$47,"=1")+COUNTIF($O$33:$O$47,"=1")+COUNTIF($M$33:$M$47,"=1")</f>
        <v>7</v>
      </c>
      <c r="AO47" s="13" t="n">
        <f aca="false">+COUNTIF($AH$33:$AH$47,"=2")+COUNTIF($AI$33:$AI$47,"=2")+COUNTIF($AJ$33:$AJ$47,"=2")+COUNTIF($P$33:$P$47,"=2")+COUNTIF($O$33:$O$47,"=2")+COUNTIF($M$33:$M$47,"=2")</f>
        <v>19</v>
      </c>
      <c r="AP47" s="13" t="n">
        <f aca="false">+COUNTIF($AH$33:$AH$47,"=3")+COUNTIF($AI$33:$AI$47,"=3")+COUNTIF($AJ$33:$AJ$47,"=3")+COUNTIF($P$33:$P$47,"=3")+COUNTIF($O$33:$O$47,"=3")+COUNTIF($M$33:$M$47,"=3")</f>
        <v>39</v>
      </c>
      <c r="AQ47" s="13" t="n">
        <f aca="false">+COUNTIF($AH$33:$AH$47,"=4")+COUNTIF($AI$33:$AI$47,"=4")+COUNTIF($AJ$33:$AJ$47,"=4")+COUNTIF($P$33:$P$47,"=4")+COUNTIF($O$33:$O$47,"=4")+COUNTIF($M$33:$M$47,"=4")</f>
        <v>25</v>
      </c>
      <c r="AR47" s="24"/>
      <c r="AV47" s="30"/>
    </row>
    <row r="48" customFormat="false" ht="15" hidden="false" customHeight="false" outlineLevel="0" collapsed="false">
      <c r="A48" s="9" t="n">
        <v>45349.7466435185</v>
      </c>
      <c r="B48" s="10" t="s">
        <v>56</v>
      </c>
      <c r="C48" s="10" t="s">
        <v>81</v>
      </c>
      <c r="D48" s="10" t="n">
        <v>17</v>
      </c>
      <c r="E48" s="10" t="s">
        <v>59</v>
      </c>
      <c r="F48" s="11" t="s">
        <v>48</v>
      </c>
      <c r="G48" s="12" t="n">
        <v>4</v>
      </c>
      <c r="H48" s="12" t="n">
        <v>3</v>
      </c>
      <c r="I48" s="12" t="n">
        <v>3</v>
      </c>
      <c r="J48" s="12" t="n">
        <v>3</v>
      </c>
      <c r="K48" s="12" t="n">
        <v>4</v>
      </c>
      <c r="L48" s="12" t="n">
        <v>2</v>
      </c>
      <c r="M48" s="12" t="n">
        <v>4</v>
      </c>
      <c r="N48" s="12" t="n">
        <v>3</v>
      </c>
      <c r="O48" s="12" t="n">
        <v>3</v>
      </c>
      <c r="P48" s="12" t="n">
        <v>4</v>
      </c>
      <c r="Q48" s="12" t="n">
        <v>4</v>
      </c>
      <c r="R48" s="12" t="n">
        <v>1</v>
      </c>
      <c r="S48" s="12" t="n">
        <v>1</v>
      </c>
      <c r="T48" s="12" t="n">
        <v>4</v>
      </c>
      <c r="U48" s="12" t="n">
        <v>2</v>
      </c>
      <c r="V48" s="12" t="n">
        <v>4</v>
      </c>
      <c r="W48" s="12" t="n">
        <v>3</v>
      </c>
      <c r="X48" s="12" t="n">
        <v>4</v>
      </c>
      <c r="Y48" s="12" t="n">
        <v>4</v>
      </c>
      <c r="Z48" s="12" t="n">
        <v>2</v>
      </c>
      <c r="AA48" s="12" t="n">
        <v>4</v>
      </c>
      <c r="AB48" s="12" t="n">
        <v>3</v>
      </c>
      <c r="AC48" s="12" t="n">
        <v>1</v>
      </c>
      <c r="AD48" s="12" t="n">
        <v>4</v>
      </c>
      <c r="AE48" s="12" t="n">
        <v>3</v>
      </c>
      <c r="AF48" s="12" t="n">
        <v>3</v>
      </c>
      <c r="AG48" s="12" t="n">
        <v>2</v>
      </c>
      <c r="AH48" s="12" t="n">
        <v>3</v>
      </c>
      <c r="AI48" s="12" t="n">
        <v>1</v>
      </c>
      <c r="AJ48" s="12" t="n">
        <v>3</v>
      </c>
      <c r="AK48" s="11"/>
      <c r="AL48" s="13"/>
      <c r="AM48" s="13"/>
      <c r="AN48" s="13" t="n">
        <f aca="false">+$AN47/(15*7)</f>
        <v>0.0666666666666667</v>
      </c>
      <c r="AO48" s="11"/>
      <c r="AP48" s="11"/>
      <c r="AQ48" s="11"/>
      <c r="AR48" s="11"/>
    </row>
    <row r="49" customFormat="false" ht="15" hidden="false" customHeight="false" outlineLevel="0" collapsed="false">
      <c r="A49" s="9" t="n">
        <v>45349.7468865741</v>
      </c>
      <c r="B49" s="10" t="s">
        <v>47</v>
      </c>
      <c r="C49" s="10" t="s">
        <v>81</v>
      </c>
      <c r="D49" s="10" t="n">
        <v>17</v>
      </c>
      <c r="E49" s="10" t="s">
        <v>68</v>
      </c>
      <c r="F49" s="11" t="s">
        <v>48</v>
      </c>
      <c r="G49" s="12" t="n">
        <v>2</v>
      </c>
      <c r="H49" s="12" t="n">
        <v>4</v>
      </c>
      <c r="I49" s="12" t="n">
        <v>4</v>
      </c>
      <c r="J49" s="12" t="n">
        <v>3</v>
      </c>
      <c r="K49" s="12" t="n">
        <v>3</v>
      </c>
      <c r="L49" s="12" t="n">
        <v>4</v>
      </c>
      <c r="M49" s="12" t="n">
        <v>3</v>
      </c>
      <c r="N49" s="12" t="n">
        <v>3</v>
      </c>
      <c r="O49" s="12" t="n">
        <v>4</v>
      </c>
      <c r="P49" s="12" t="n">
        <v>3</v>
      </c>
      <c r="Q49" s="12" t="n">
        <v>4</v>
      </c>
      <c r="R49" s="12" t="n">
        <v>2</v>
      </c>
      <c r="S49" s="12" t="n">
        <v>1</v>
      </c>
      <c r="T49" s="12" t="n">
        <v>3</v>
      </c>
      <c r="U49" s="12" t="n">
        <v>3</v>
      </c>
      <c r="V49" s="12" t="n">
        <v>1</v>
      </c>
      <c r="W49" s="12" t="n">
        <v>1</v>
      </c>
      <c r="X49" s="12" t="n">
        <v>1</v>
      </c>
      <c r="Y49" s="12" t="n">
        <v>1</v>
      </c>
      <c r="Z49" s="12" t="n">
        <v>3</v>
      </c>
      <c r="AA49" s="12" t="n">
        <v>3</v>
      </c>
      <c r="AB49" s="12" t="n">
        <v>4</v>
      </c>
      <c r="AC49" s="12" t="n">
        <v>1</v>
      </c>
      <c r="AD49" s="12" t="n">
        <v>3</v>
      </c>
      <c r="AE49" s="12" t="n">
        <v>2</v>
      </c>
      <c r="AF49" s="12" t="n">
        <v>2</v>
      </c>
      <c r="AG49" s="12" t="n">
        <v>2</v>
      </c>
      <c r="AH49" s="12" t="n">
        <v>3</v>
      </c>
      <c r="AI49" s="12" t="n">
        <v>3</v>
      </c>
      <c r="AJ49" s="12" t="n">
        <v>1</v>
      </c>
      <c r="AK49" s="11"/>
      <c r="AL49" s="5" t="s">
        <v>36</v>
      </c>
      <c r="AM49" s="5" t="s">
        <v>37</v>
      </c>
      <c r="AN49" s="5" t="n">
        <f aca="false">+COUNTIF($G48:$G61,"=1")+COUNTIF($H48:$H61,"=1")+COUNTIF($I48:$I61,"=1")+COUNTIF($J48:$J61,"=1")+COUNTIF($K48:$K61,"=1")+COUNTIF($L48:$L61,"=1")+COUNTIF($N48:$N61,"=1")</f>
        <v>9</v>
      </c>
      <c r="AO49" s="5" t="n">
        <f aca="false">+COUNTIF($G48:$G61,"=2")+COUNTIF($H48:$H61,"=2")+COUNTIF($I48:$I61,"=2")+COUNTIF($J48:$J61,"=2")+COUNTIF($K48:$K61,"=2")+COUNTIF($L48:$L61,"=2")+COUNTIF($N48:$N61,"=2")</f>
        <v>25</v>
      </c>
      <c r="AP49" s="5" t="n">
        <f aca="false">+COUNTIF($G48:$G61,"=3")+COUNTIF($H48:$H61,"=3")+COUNTIF($I48:$I61,"=3")+COUNTIF($J48:$J61,"=3")+COUNTIF($K48:$K61,"=3")+COUNTIF($L48:$L61,"=3")+COUNTIF($N48:$N61,"=3")</f>
        <v>37</v>
      </c>
      <c r="AQ49" s="5" t="n">
        <f aca="false">+COUNTIF($G48:$G61,"=4")+COUNTIF($H48:$H61,"=4")+COUNTIF($I48:$I61,"=4")+COUNTIF($J48:$J61,"=4")+COUNTIF($K48:$K61,"=4")+COUNTIF($L48:$L61,"=4")+COUNTIF($N48:$N61,"=4")</f>
        <v>27</v>
      </c>
      <c r="AR49" s="11"/>
      <c r="AS49" s="0" t="s">
        <v>36</v>
      </c>
      <c r="AT49" s="2" t="n">
        <v>34</v>
      </c>
      <c r="AU49" s="2" t="n">
        <v>64</v>
      </c>
      <c r="AV49" s="7" t="n">
        <f aca="false">+$AU49/$AT49</f>
        <v>1.88235294117647</v>
      </c>
      <c r="AW49" s="2" t="n">
        <v>1.92</v>
      </c>
    </row>
    <row r="50" customFormat="false" ht="15" hidden="false" customHeight="false" outlineLevel="0" collapsed="false">
      <c r="A50" s="9" t="n">
        <v>45349.747662037</v>
      </c>
      <c r="B50" s="10" t="s">
        <v>47</v>
      </c>
      <c r="C50" s="10" t="s">
        <v>81</v>
      </c>
      <c r="D50" s="10" t="n">
        <v>18</v>
      </c>
      <c r="E50" s="10" t="s">
        <v>59</v>
      </c>
      <c r="F50" s="11" t="s">
        <v>48</v>
      </c>
      <c r="G50" s="12" t="n">
        <v>3</v>
      </c>
      <c r="H50" s="12" t="n">
        <v>2</v>
      </c>
      <c r="I50" s="12" t="n">
        <v>3</v>
      </c>
      <c r="J50" s="12" t="n">
        <v>2</v>
      </c>
      <c r="K50" s="12" t="n">
        <v>2</v>
      </c>
      <c r="L50" s="12" t="n">
        <v>4</v>
      </c>
      <c r="M50" s="12" t="n">
        <v>3</v>
      </c>
      <c r="N50" s="12" t="n">
        <v>3</v>
      </c>
      <c r="O50" s="12" t="n">
        <v>3</v>
      </c>
      <c r="P50" s="12" t="n">
        <v>3</v>
      </c>
      <c r="Q50" s="12" t="n">
        <v>4</v>
      </c>
      <c r="R50" s="12" t="n">
        <v>4</v>
      </c>
      <c r="S50" s="12" t="n">
        <v>2</v>
      </c>
      <c r="T50" s="12" t="n">
        <v>3</v>
      </c>
      <c r="U50" s="12" t="n">
        <v>2</v>
      </c>
      <c r="V50" s="12" t="n">
        <v>2</v>
      </c>
      <c r="W50" s="12" t="n">
        <v>1</v>
      </c>
      <c r="X50" s="12" t="n">
        <v>3</v>
      </c>
      <c r="Y50" s="12" t="n">
        <v>2</v>
      </c>
      <c r="Z50" s="12" t="n">
        <v>2</v>
      </c>
      <c r="AA50" s="12" t="n">
        <v>3</v>
      </c>
      <c r="AB50" s="12" t="n">
        <v>2</v>
      </c>
      <c r="AC50" s="12" t="n">
        <v>2</v>
      </c>
      <c r="AD50" s="12" t="n">
        <v>3</v>
      </c>
      <c r="AE50" s="12" t="n">
        <v>3</v>
      </c>
      <c r="AF50" s="12" t="n">
        <v>2</v>
      </c>
      <c r="AG50" s="12" t="n">
        <v>4</v>
      </c>
      <c r="AH50" s="12" t="n">
        <v>3</v>
      </c>
      <c r="AI50" s="12" t="n">
        <v>3</v>
      </c>
      <c r="AJ50" s="12" t="n">
        <v>3</v>
      </c>
      <c r="AK50" s="11"/>
      <c r="AL50" s="11"/>
      <c r="AM50" s="11" t="s">
        <v>44</v>
      </c>
      <c r="AN50" s="11" t="n">
        <f aca="false">+$AN49/(14*7)</f>
        <v>0.0918367346938776</v>
      </c>
      <c r="AO50" s="11"/>
      <c r="AP50" s="11"/>
      <c r="AQ50" s="11"/>
      <c r="AR50" s="11"/>
      <c r="AS50" s="0" t="s">
        <v>45</v>
      </c>
      <c r="AT50" s="2" t="n">
        <v>80</v>
      </c>
      <c r="AU50" s="2" t="n">
        <v>55</v>
      </c>
      <c r="AV50" s="7" t="n">
        <f aca="false">+$AU50/$AT50</f>
        <v>0.6875</v>
      </c>
      <c r="AW50" s="2" t="n">
        <v>0.51</v>
      </c>
    </row>
    <row r="51" customFormat="false" ht="15" hidden="false" customHeight="false" outlineLevel="0" collapsed="false">
      <c r="A51" s="9" t="n">
        <v>45349.7504166667</v>
      </c>
      <c r="B51" s="10" t="s">
        <v>56</v>
      </c>
      <c r="C51" s="10" t="s">
        <v>81</v>
      </c>
      <c r="D51" s="10" t="n">
        <v>18</v>
      </c>
      <c r="E51" s="10" t="s">
        <v>59</v>
      </c>
      <c r="F51" s="11" t="s">
        <v>48</v>
      </c>
      <c r="G51" s="12" t="n">
        <v>2</v>
      </c>
      <c r="H51" s="12" t="n">
        <v>2</v>
      </c>
      <c r="I51" s="12" t="n">
        <v>2</v>
      </c>
      <c r="J51" s="12" t="n">
        <v>2</v>
      </c>
      <c r="K51" s="12" t="n">
        <v>1</v>
      </c>
      <c r="L51" s="12" t="n">
        <v>4</v>
      </c>
      <c r="M51" s="12" t="n">
        <v>4</v>
      </c>
      <c r="N51" s="12" t="n">
        <v>4</v>
      </c>
      <c r="O51" s="12" t="n">
        <v>4</v>
      </c>
      <c r="P51" s="12" t="n">
        <v>2</v>
      </c>
      <c r="Q51" s="12" t="n">
        <v>4</v>
      </c>
      <c r="R51" s="12" t="n">
        <v>1</v>
      </c>
      <c r="S51" s="12" t="n">
        <v>1</v>
      </c>
      <c r="T51" s="12" t="n">
        <v>1</v>
      </c>
      <c r="U51" s="12" t="n">
        <v>4</v>
      </c>
      <c r="V51" s="12" t="n">
        <v>1</v>
      </c>
      <c r="W51" s="12" t="n">
        <v>3</v>
      </c>
      <c r="X51" s="12" t="n">
        <v>1</v>
      </c>
      <c r="Y51" s="12" t="n">
        <v>1</v>
      </c>
      <c r="Z51" s="12" t="n">
        <v>2</v>
      </c>
      <c r="AA51" s="12" t="n">
        <v>1</v>
      </c>
      <c r="AB51" s="12" t="n">
        <v>4</v>
      </c>
      <c r="AC51" s="12" t="n">
        <v>1</v>
      </c>
      <c r="AD51" s="12" t="n">
        <v>2</v>
      </c>
      <c r="AE51" s="12" t="n">
        <v>3</v>
      </c>
      <c r="AF51" s="12" t="n">
        <v>2</v>
      </c>
      <c r="AG51" s="12" t="n">
        <v>1</v>
      </c>
      <c r="AH51" s="12" t="n">
        <v>4</v>
      </c>
      <c r="AI51" s="12" t="n">
        <v>4</v>
      </c>
      <c r="AJ51" s="12" t="n">
        <v>1</v>
      </c>
      <c r="AK51" s="11"/>
      <c r="AL51" s="11"/>
      <c r="AM51" s="11" t="s">
        <v>49</v>
      </c>
      <c r="AN51" s="5" t="n">
        <f aca="false">+STDEV(($G48:$G61), ($H48:$H61),($I48:$I61),($J48:$J61),($K48:$K61),($L48:$L61),($N48:$N61))</f>
        <v>0.938235650075495</v>
      </c>
      <c r="AO51" s="11"/>
      <c r="AP51" s="11"/>
      <c r="AQ51" s="11"/>
      <c r="AR51" s="11"/>
      <c r="AS51" s="0" t="s">
        <v>50</v>
      </c>
      <c r="AT51" s="2" t="n">
        <v>65</v>
      </c>
      <c r="AU51" s="2" t="n">
        <v>55</v>
      </c>
      <c r="AV51" s="7" t="n">
        <f aca="false">+$AU51/$AT51</f>
        <v>0.846153846153846</v>
      </c>
      <c r="AW51" s="2" t="n">
        <v>0.71</v>
      </c>
    </row>
    <row r="52" customFormat="false" ht="15" hidden="false" customHeight="false" outlineLevel="0" collapsed="false">
      <c r="A52" s="9" t="n">
        <v>45349.7541319444</v>
      </c>
      <c r="B52" s="10" t="s">
        <v>56</v>
      </c>
      <c r="C52" s="10" t="s">
        <v>81</v>
      </c>
      <c r="D52" s="10" t="n">
        <v>18</v>
      </c>
      <c r="E52" s="10" t="s">
        <v>68</v>
      </c>
      <c r="F52" s="11" t="s">
        <v>48</v>
      </c>
      <c r="G52" s="12" t="n">
        <v>3</v>
      </c>
      <c r="H52" s="12" t="n">
        <v>3</v>
      </c>
      <c r="I52" s="12" t="n">
        <v>2</v>
      </c>
      <c r="J52" s="12" t="n">
        <v>3</v>
      </c>
      <c r="K52" s="12" t="n">
        <v>1</v>
      </c>
      <c r="L52" s="12" t="n">
        <v>2</v>
      </c>
      <c r="M52" s="12" t="n">
        <v>3</v>
      </c>
      <c r="N52" s="12" t="n">
        <v>2</v>
      </c>
      <c r="O52" s="12" t="n">
        <v>3</v>
      </c>
      <c r="P52" s="12" t="n">
        <v>4</v>
      </c>
      <c r="Q52" s="12" t="n">
        <v>3</v>
      </c>
      <c r="R52" s="12" t="n">
        <v>3</v>
      </c>
      <c r="S52" s="12" t="n">
        <v>2</v>
      </c>
      <c r="T52" s="12" t="n">
        <v>4</v>
      </c>
      <c r="U52" s="12" t="n">
        <v>4</v>
      </c>
      <c r="V52" s="12" t="n">
        <v>4</v>
      </c>
      <c r="W52" s="12" t="n">
        <v>4</v>
      </c>
      <c r="X52" s="12" t="n">
        <v>4</v>
      </c>
      <c r="Y52" s="12" t="n">
        <v>4</v>
      </c>
      <c r="Z52" s="12" t="n">
        <v>3</v>
      </c>
      <c r="AA52" s="12" t="n">
        <v>3</v>
      </c>
      <c r="AB52" s="12" t="n">
        <v>3</v>
      </c>
      <c r="AC52" s="12" t="n">
        <v>2</v>
      </c>
      <c r="AD52" s="12" t="n">
        <v>3</v>
      </c>
      <c r="AE52" s="12" t="n">
        <v>3</v>
      </c>
      <c r="AF52" s="12" t="n">
        <v>2</v>
      </c>
      <c r="AG52" s="12" t="n">
        <v>2</v>
      </c>
      <c r="AH52" s="12" t="n">
        <v>4</v>
      </c>
      <c r="AI52" s="12" t="n">
        <v>3</v>
      </c>
      <c r="AJ52" s="12" t="n">
        <v>1</v>
      </c>
      <c r="AK52" s="11"/>
      <c r="AL52" s="11"/>
      <c r="AM52" s="11"/>
      <c r="AN52" s="11"/>
      <c r="AO52" s="11"/>
      <c r="AP52" s="11"/>
      <c r="AQ52" s="11"/>
      <c r="AR52" s="11"/>
      <c r="AS52" s="0" t="s">
        <v>52</v>
      </c>
      <c r="AT52" s="2" t="n">
        <v>32</v>
      </c>
      <c r="AU52" s="2" t="n">
        <v>58</v>
      </c>
      <c r="AV52" s="7" t="n">
        <f aca="false">+$AU52/$AT52</f>
        <v>1.8125</v>
      </c>
      <c r="AW52" s="2" t="n">
        <v>2.01</v>
      </c>
    </row>
    <row r="53" customFormat="false" ht="15" hidden="false" customHeight="false" outlineLevel="0" collapsed="false">
      <c r="A53" s="9" t="n">
        <v>45349.7545138889</v>
      </c>
      <c r="B53" s="10" t="s">
        <v>56</v>
      </c>
      <c r="C53" s="10" t="s">
        <v>81</v>
      </c>
      <c r="D53" s="10" t="n">
        <v>17</v>
      </c>
      <c r="E53" s="10" t="s">
        <v>42</v>
      </c>
      <c r="F53" s="11" t="s">
        <v>48</v>
      </c>
      <c r="G53" s="12" t="n">
        <v>3</v>
      </c>
      <c r="H53" s="12" t="n">
        <v>2</v>
      </c>
      <c r="I53" s="12" t="n">
        <v>2</v>
      </c>
      <c r="J53" s="12" t="n">
        <v>3</v>
      </c>
      <c r="K53" s="12" t="n">
        <v>3</v>
      </c>
      <c r="L53" s="12" t="n">
        <v>4</v>
      </c>
      <c r="M53" s="12" t="n">
        <v>4</v>
      </c>
      <c r="N53" s="12" t="n">
        <v>4</v>
      </c>
      <c r="O53" s="12" t="n">
        <v>4</v>
      </c>
      <c r="P53" s="12" t="n">
        <v>3</v>
      </c>
      <c r="Q53" s="12" t="n">
        <v>4</v>
      </c>
      <c r="R53" s="12" t="n">
        <v>1</v>
      </c>
      <c r="S53" s="12" t="n">
        <v>1</v>
      </c>
      <c r="T53" s="12" t="n">
        <v>2</v>
      </c>
      <c r="U53" s="12" t="n">
        <v>3</v>
      </c>
      <c r="V53" s="12" t="n">
        <v>1</v>
      </c>
      <c r="W53" s="12" t="n">
        <v>3</v>
      </c>
      <c r="X53" s="12" t="n">
        <v>1</v>
      </c>
      <c r="Y53" s="12" t="n">
        <v>3</v>
      </c>
      <c r="Z53" s="12" t="n">
        <v>1</v>
      </c>
      <c r="AA53" s="12" t="n">
        <v>1</v>
      </c>
      <c r="AB53" s="12" t="n">
        <v>4</v>
      </c>
      <c r="AC53" s="12" t="n">
        <v>1</v>
      </c>
      <c r="AD53" s="12" t="n">
        <v>1</v>
      </c>
      <c r="AE53" s="12" t="n">
        <v>3</v>
      </c>
      <c r="AF53" s="12" t="n">
        <v>3</v>
      </c>
      <c r="AG53" s="12" t="n">
        <v>1</v>
      </c>
      <c r="AH53" s="12" t="n">
        <v>4</v>
      </c>
      <c r="AI53" s="12" t="n">
        <v>4</v>
      </c>
      <c r="AJ53" s="12" t="n">
        <v>3</v>
      </c>
      <c r="AK53" s="11"/>
      <c r="AL53" s="13" t="s">
        <v>45</v>
      </c>
      <c r="AM53" s="11" t="s">
        <v>37</v>
      </c>
      <c r="AN53" s="5" t="n">
        <f aca="false">+COUNTIF($Q$2:$Q$16,"=1")+COUNTIF($R$2:$R$16,"=1")+COUNTIF($S$2:$S$16,"=1")+COUNTIF($T$2:$T$16,"=1")+COUNTIF($U$2:$U$16,"=1")+COUNTIF($V$2:$V$16,"=1")+COUNTIF($W$2:$W$16,"=1")+COUNTIF($X$2:$X$16,"=1")+COUNTIF($Y$2:$Y$16,"=1")</f>
        <v>35</v>
      </c>
      <c r="AO53" s="5" t="n">
        <f aca="false">+COUNTIF($Q$2:$Q$16,"=2")+COUNTIF($R$2:$R$16,"=2")+COUNTIF($S$2:$S$16,"=2")+COUNTIF($T$2:$T$16,"=2")+COUNTIF($U$2:$U$16,"=2")+COUNTIF($V$2:$V$16,"=2")+COUNTIF($W$2:$W$16,"=2")+COUNTIF($X$2:$X$16,"=2")+COUNTIF($Y$2:$Y$16,"=2")</f>
        <v>45</v>
      </c>
      <c r="AP53" s="5" t="n">
        <f aca="false">+COUNTIF($Q$2:$Q$16,"=3")+COUNTIF($R$2:$R$16,"=3")+COUNTIF($S$2:$S$16,"=3")+COUNTIF($T$2:$T$16,"=3")+COUNTIF($U$2:$U$16,"=3")+COUNTIF($V$2:$V$16,"=3")+COUNTIF($W$2:$W$16,"=3")+COUNTIF($X$2:$X$16,"=3")+COUNTIF($Y$2:$Y$16,"=3")</f>
        <v>37</v>
      </c>
      <c r="AQ53" s="5" t="n">
        <f aca="false">+COUNTIF($Q$2:$Q$16,"=4")+COUNTIF($R$2:$R$16,"=4")+COUNTIF($S$2:$S$16,"=4")+COUNTIF($T$2:$T$16,"=4")+COUNTIF($U$2:$U$16,"=4")+COUNTIF($V$2:$V$16,"=4")+COUNTIF($W$2:$W$16,"=4")+COUNTIF($X$2:$X$16,"=4")+COUNTIF($Y$2:$Y$16,"=4")</f>
        <v>18</v>
      </c>
      <c r="AR53" s="11"/>
    </row>
    <row r="54" customFormat="false" ht="15" hidden="false" customHeight="false" outlineLevel="0" collapsed="false">
      <c r="A54" s="9" t="n">
        <v>45349.7545833333</v>
      </c>
      <c r="B54" s="10" t="s">
        <v>47</v>
      </c>
      <c r="C54" s="10" t="s">
        <v>81</v>
      </c>
      <c r="D54" s="10" t="n">
        <v>17</v>
      </c>
      <c r="E54" s="10" t="s">
        <v>42</v>
      </c>
      <c r="F54" s="11" t="s">
        <v>48</v>
      </c>
      <c r="G54" s="12" t="n">
        <v>2</v>
      </c>
      <c r="H54" s="12" t="n">
        <v>2</v>
      </c>
      <c r="I54" s="12" t="n">
        <v>3</v>
      </c>
      <c r="J54" s="12" t="n">
        <v>2</v>
      </c>
      <c r="K54" s="12" t="n">
        <v>2</v>
      </c>
      <c r="L54" s="12" t="n">
        <v>1</v>
      </c>
      <c r="M54" s="12" t="n">
        <v>4</v>
      </c>
      <c r="N54" s="12" t="n">
        <v>4</v>
      </c>
      <c r="O54" s="12" t="n">
        <v>4</v>
      </c>
      <c r="P54" s="12" t="n">
        <v>2</v>
      </c>
      <c r="Q54" s="12" t="n">
        <v>4</v>
      </c>
      <c r="R54" s="12" t="n">
        <v>1</v>
      </c>
      <c r="S54" s="12" t="n">
        <v>1</v>
      </c>
      <c r="T54" s="12" t="n">
        <v>3</v>
      </c>
      <c r="U54" s="12" t="n">
        <v>3</v>
      </c>
      <c r="V54" s="12" t="n">
        <v>2</v>
      </c>
      <c r="W54" s="12" t="n">
        <v>2</v>
      </c>
      <c r="X54" s="12" t="n">
        <v>2</v>
      </c>
      <c r="Y54" s="12" t="n">
        <v>2</v>
      </c>
      <c r="Z54" s="12" t="n">
        <v>2</v>
      </c>
      <c r="AA54" s="12" t="n">
        <v>1</v>
      </c>
      <c r="AB54" s="12" t="n">
        <v>4</v>
      </c>
      <c r="AC54" s="12" t="n">
        <v>1</v>
      </c>
      <c r="AD54" s="12" t="n">
        <v>1</v>
      </c>
      <c r="AE54" s="12" t="n">
        <v>4</v>
      </c>
      <c r="AF54" s="12" t="n">
        <v>4</v>
      </c>
      <c r="AG54" s="12" t="n">
        <v>1</v>
      </c>
      <c r="AH54" s="12" t="n">
        <v>3</v>
      </c>
      <c r="AI54" s="12" t="n">
        <v>2</v>
      </c>
      <c r="AJ54" s="12" t="n">
        <v>3</v>
      </c>
      <c r="AK54" s="11"/>
      <c r="AL54" s="13"/>
      <c r="AM54" s="11" t="s">
        <v>44</v>
      </c>
      <c r="AN54" s="11" t="n">
        <f aca="false">+$AN53/(14*7)</f>
        <v>0.357142857142857</v>
      </c>
      <c r="AO54" s="11"/>
      <c r="AP54" s="11"/>
      <c r="AQ54" s="11"/>
      <c r="AR54" s="11"/>
    </row>
    <row r="55" customFormat="false" ht="15" hidden="false" customHeight="false" outlineLevel="0" collapsed="false">
      <c r="A55" s="9" t="n">
        <v>45349.7546064815</v>
      </c>
      <c r="B55" s="10" t="s">
        <v>56</v>
      </c>
      <c r="C55" s="10" t="s">
        <v>81</v>
      </c>
      <c r="D55" s="10" t="n">
        <v>18</v>
      </c>
      <c r="E55" s="10" t="s">
        <v>42</v>
      </c>
      <c r="F55" s="11" t="s">
        <v>75</v>
      </c>
      <c r="G55" s="12" t="n">
        <v>3</v>
      </c>
      <c r="H55" s="12" t="n">
        <v>1</v>
      </c>
      <c r="I55" s="12" t="n">
        <v>1</v>
      </c>
      <c r="J55" s="12" t="n">
        <v>3</v>
      </c>
      <c r="K55" s="12" t="n">
        <v>3</v>
      </c>
      <c r="L55" s="12" t="n">
        <v>4</v>
      </c>
      <c r="M55" s="12" t="n">
        <v>3</v>
      </c>
      <c r="N55" s="12" t="n">
        <v>3</v>
      </c>
      <c r="O55" s="12" t="n">
        <v>3</v>
      </c>
      <c r="P55" s="12" t="n">
        <v>3</v>
      </c>
      <c r="Q55" s="12" t="n">
        <v>4</v>
      </c>
      <c r="R55" s="12" t="n">
        <v>1</v>
      </c>
      <c r="S55" s="12" t="n">
        <v>1</v>
      </c>
      <c r="T55" s="12" t="n">
        <v>1</v>
      </c>
      <c r="U55" s="12" t="n">
        <v>3</v>
      </c>
      <c r="V55" s="12" t="n">
        <v>1</v>
      </c>
      <c r="W55" s="12" t="n">
        <v>3</v>
      </c>
      <c r="X55" s="12" t="n">
        <v>2</v>
      </c>
      <c r="Y55" s="12" t="n">
        <v>2</v>
      </c>
      <c r="Z55" s="12" t="n">
        <v>2</v>
      </c>
      <c r="AA55" s="12" t="n">
        <v>3</v>
      </c>
      <c r="AB55" s="12" t="n">
        <v>2</v>
      </c>
      <c r="AC55" s="12" t="n">
        <v>1</v>
      </c>
      <c r="AD55" s="12" t="n">
        <v>3</v>
      </c>
      <c r="AE55" s="12" t="n">
        <v>2</v>
      </c>
      <c r="AF55" s="12" t="n">
        <v>2</v>
      </c>
      <c r="AG55" s="12" t="n">
        <v>2</v>
      </c>
      <c r="AH55" s="12" t="n">
        <v>4</v>
      </c>
      <c r="AI55" s="12" t="n">
        <v>4</v>
      </c>
      <c r="AJ55" s="12" t="n">
        <v>3</v>
      </c>
      <c r="AK55" s="11"/>
      <c r="AL55" s="11"/>
      <c r="AM55" s="11" t="s">
        <v>49</v>
      </c>
      <c r="AN55" s="5" t="n">
        <f aca="false">+STDEV(($Q$48:$Q$61),($R$48:$R$61),($S$48:$S$61),($T$48:$T$61),($U$48:$U$61),($V$48:$V$61),($W$48:$W$61),($X$48:$X$61),($Y$48:$Y$61))</f>
        <v>1.13562792923157</v>
      </c>
      <c r="AO55" s="11"/>
      <c r="AP55" s="11"/>
      <c r="AQ55" s="11"/>
      <c r="AR55" s="11"/>
    </row>
    <row r="56" customFormat="false" ht="15" hidden="false" customHeight="false" outlineLevel="0" collapsed="false">
      <c r="A56" s="9" t="n">
        <v>45349.7559837963</v>
      </c>
      <c r="B56" s="10" t="s">
        <v>56</v>
      </c>
      <c r="C56" s="10" t="s">
        <v>81</v>
      </c>
      <c r="D56" s="10" t="n">
        <v>17</v>
      </c>
      <c r="E56" s="10" t="s">
        <v>68</v>
      </c>
      <c r="F56" s="11" t="s">
        <v>75</v>
      </c>
      <c r="G56" s="12" t="n">
        <v>1</v>
      </c>
      <c r="H56" s="12" t="n">
        <v>4</v>
      </c>
      <c r="I56" s="12" t="n">
        <v>4</v>
      </c>
      <c r="J56" s="12" t="n">
        <v>3</v>
      </c>
      <c r="K56" s="12" t="n">
        <v>4</v>
      </c>
      <c r="L56" s="12" t="n">
        <v>2</v>
      </c>
      <c r="M56" s="12" t="n">
        <v>3</v>
      </c>
      <c r="N56" s="12" t="n">
        <v>3</v>
      </c>
      <c r="O56" s="12" t="n">
        <v>2</v>
      </c>
      <c r="P56" s="12" t="n">
        <v>3</v>
      </c>
      <c r="Q56" s="12" t="n">
        <v>1</v>
      </c>
      <c r="R56" s="12" t="n">
        <v>3</v>
      </c>
      <c r="S56" s="12" t="n">
        <v>1</v>
      </c>
      <c r="T56" s="12" t="n">
        <v>4</v>
      </c>
      <c r="U56" s="12" t="n">
        <v>3</v>
      </c>
      <c r="V56" s="12" t="n">
        <v>4</v>
      </c>
      <c r="W56" s="12" t="n">
        <v>1</v>
      </c>
      <c r="X56" s="12" t="n">
        <v>4</v>
      </c>
      <c r="Y56" s="12" t="n">
        <v>4</v>
      </c>
      <c r="Z56" s="12" t="n">
        <v>3</v>
      </c>
      <c r="AA56" s="12" t="n">
        <v>4</v>
      </c>
      <c r="AB56" s="12" t="n">
        <v>1</v>
      </c>
      <c r="AC56" s="12" t="n">
        <v>2</v>
      </c>
      <c r="AD56" s="12" t="n">
        <v>3</v>
      </c>
      <c r="AE56" s="12" t="n">
        <v>1</v>
      </c>
      <c r="AF56" s="12" t="n">
        <v>1</v>
      </c>
      <c r="AG56" s="12" t="n">
        <v>3</v>
      </c>
      <c r="AH56" s="12" t="n">
        <v>1</v>
      </c>
      <c r="AI56" s="12" t="n">
        <v>1</v>
      </c>
      <c r="AJ56" s="12" t="n">
        <v>1</v>
      </c>
      <c r="AK56" s="11"/>
      <c r="AL56" s="11"/>
      <c r="AM56" s="11"/>
      <c r="AN56" s="5"/>
      <c r="AO56" s="11"/>
      <c r="AP56" s="11"/>
      <c r="AQ56" s="11"/>
      <c r="AR56" s="11"/>
    </row>
    <row r="57" customFormat="false" ht="15" hidden="false" customHeight="false" outlineLevel="0" collapsed="false">
      <c r="A57" s="9" t="n">
        <v>45349.7562152778</v>
      </c>
      <c r="B57" s="10" t="s">
        <v>56</v>
      </c>
      <c r="C57" s="10" t="s">
        <v>81</v>
      </c>
      <c r="D57" s="10" t="n">
        <v>17</v>
      </c>
      <c r="E57" s="10" t="s">
        <v>42</v>
      </c>
      <c r="F57" s="11" t="s">
        <v>48</v>
      </c>
      <c r="G57" s="12" t="n">
        <v>3</v>
      </c>
      <c r="H57" s="12" t="n">
        <v>3</v>
      </c>
      <c r="I57" s="12" t="n">
        <v>4</v>
      </c>
      <c r="J57" s="12" t="n">
        <v>2</v>
      </c>
      <c r="K57" s="12" t="n">
        <v>1</v>
      </c>
      <c r="L57" s="12" t="n">
        <v>4</v>
      </c>
      <c r="M57" s="12" t="n">
        <v>4</v>
      </c>
      <c r="N57" s="12" t="n">
        <v>3</v>
      </c>
      <c r="O57" s="12" t="n">
        <v>4</v>
      </c>
      <c r="P57" s="12" t="n">
        <v>3</v>
      </c>
      <c r="Q57" s="12" t="n">
        <v>1</v>
      </c>
      <c r="R57" s="12" t="n">
        <v>1</v>
      </c>
      <c r="S57" s="12" t="n">
        <v>2</v>
      </c>
      <c r="T57" s="12" t="n">
        <v>4</v>
      </c>
      <c r="U57" s="12" t="n">
        <v>2</v>
      </c>
      <c r="V57" s="12" t="n">
        <v>3</v>
      </c>
      <c r="W57" s="12" t="n">
        <v>2</v>
      </c>
      <c r="X57" s="12" t="n">
        <v>2</v>
      </c>
      <c r="Y57" s="12" t="n">
        <v>2</v>
      </c>
      <c r="Z57" s="12" t="n">
        <v>2</v>
      </c>
      <c r="AA57" s="12" t="n">
        <v>2</v>
      </c>
      <c r="AB57" s="12" t="n">
        <v>4</v>
      </c>
      <c r="AC57" s="12" t="n">
        <v>1</v>
      </c>
      <c r="AD57" s="12" t="n">
        <v>2</v>
      </c>
      <c r="AE57" s="12" t="n">
        <v>3</v>
      </c>
      <c r="AF57" s="12" t="n">
        <v>2</v>
      </c>
      <c r="AG57" s="12" t="n">
        <v>1</v>
      </c>
      <c r="AH57" s="12" t="n">
        <v>2</v>
      </c>
      <c r="AI57" s="12" t="n">
        <v>2</v>
      </c>
      <c r="AJ57" s="12" t="n">
        <v>1</v>
      </c>
      <c r="AK57" s="11"/>
      <c r="AL57" s="13" t="s">
        <v>50</v>
      </c>
      <c r="AM57" s="11" t="s">
        <v>37</v>
      </c>
      <c r="AN57" s="13" t="n">
        <f aca="false">+COUNTIF($Z$2:$Z$16,"=1")+COUNTIF($AA$2:$AA$16,"=1")+COUNTIF($AB$2:$AB$16,"=1")+COUNTIF($AC$2:$AC$16,"=1")+COUNTIF($AD$2:$AD$16,"=1")+COUNTIF($AE$2:$AE$16,"=1")+COUNTIF($AF$2:$AF$16,"=1")+COUNTIF($AG$2:$AG$16,"=1")</f>
        <v>24</v>
      </c>
      <c r="AO57" s="13" t="n">
        <f aca="false">+COUNTIF($Z$2:$Z$16,"=2")+COUNTIF($AA$2:$AA$16,"=2")+COUNTIF($AB$2:$AB$16,"=2")+COUNTIF($AC$2:$AC$16,"=2")+COUNTIF($AD$2:$AD$16,"=2")+COUNTIF($AE$2:$AE$16,"=2")+COUNTIF($AF$2:$AF$16,"=2")+COUNTIF($AG$2:$AG$16,"=2")</f>
        <v>41</v>
      </c>
      <c r="AP57" s="13" t="n">
        <f aca="false">+COUNTIF($Z$2:$Z$16,"=3")+COUNTIF($AA$2:$AA$16,"=3")+COUNTIF($AB$2:$AB$16,"=3")+COUNTIF($AC$2:$AC$16,"=3")+COUNTIF($AD$2:$AD$16,"=3")+COUNTIF($AE$2:$AE$16,"=3")+COUNTIF($AF$2:$AF$16,"=3")+COUNTIF($AG$2:$AG$16,"=3")</f>
        <v>44</v>
      </c>
      <c r="AQ57" s="13" t="n">
        <f aca="false">+COUNTIF($Z$2:$Z$16,"=4")+COUNTIF($AA$2:$AA$16,"=4")+COUNTIF($AB$2:$AB$16,"=4")+COUNTIF($AC$2:$AC$16,"=4")+COUNTIF($AD$2:$AD$16,"=4")+COUNTIF($AE$2:$AE$16,"=4")+COUNTIF($AF$2:$AF$16,"=4")+COUNTIF($AG$2:$AG$16,"=4")</f>
        <v>11</v>
      </c>
      <c r="AR57" s="11"/>
    </row>
    <row r="58" customFormat="false" ht="15" hidden="false" customHeight="false" outlineLevel="0" collapsed="false">
      <c r="A58" s="9" t="n">
        <v>45349.7590740741</v>
      </c>
      <c r="B58" s="10" t="s">
        <v>56</v>
      </c>
      <c r="C58" s="10" t="s">
        <v>81</v>
      </c>
      <c r="D58" s="10" t="n">
        <v>17</v>
      </c>
      <c r="E58" s="10" t="s">
        <v>59</v>
      </c>
      <c r="F58" s="11" t="s">
        <v>75</v>
      </c>
      <c r="G58" s="12" t="n">
        <v>2</v>
      </c>
      <c r="H58" s="12" t="n">
        <v>4</v>
      </c>
      <c r="I58" s="12" t="n">
        <v>3</v>
      </c>
      <c r="J58" s="12" t="n">
        <v>3</v>
      </c>
      <c r="K58" s="12" t="n">
        <v>3</v>
      </c>
      <c r="L58" s="12" t="n">
        <v>3</v>
      </c>
      <c r="M58" s="12" t="n">
        <v>4</v>
      </c>
      <c r="N58" s="12" t="n">
        <v>3</v>
      </c>
      <c r="O58" s="12" t="n">
        <v>3</v>
      </c>
      <c r="P58" s="12" t="n">
        <v>3</v>
      </c>
      <c r="Q58" s="12" t="n">
        <v>3</v>
      </c>
      <c r="R58" s="12" t="n">
        <v>2</v>
      </c>
      <c r="S58" s="12" t="n">
        <v>1</v>
      </c>
      <c r="T58" s="12" t="n">
        <v>3</v>
      </c>
      <c r="U58" s="12" t="n">
        <v>3</v>
      </c>
      <c r="V58" s="12" t="n">
        <v>2</v>
      </c>
      <c r="W58" s="12" t="n">
        <v>3</v>
      </c>
      <c r="X58" s="12" t="n">
        <v>2</v>
      </c>
      <c r="Y58" s="12" t="n">
        <v>2</v>
      </c>
      <c r="Z58" s="12" t="n">
        <v>2</v>
      </c>
      <c r="AA58" s="12" t="n">
        <v>3</v>
      </c>
      <c r="AB58" s="12" t="n">
        <v>2</v>
      </c>
      <c r="AC58" s="12" t="n">
        <v>2</v>
      </c>
      <c r="AD58" s="12" t="n">
        <v>3</v>
      </c>
      <c r="AE58" s="12" t="n">
        <v>2</v>
      </c>
      <c r="AF58" s="12" t="n">
        <v>2</v>
      </c>
      <c r="AG58" s="12" t="n">
        <v>2</v>
      </c>
      <c r="AH58" s="12" t="n">
        <v>4</v>
      </c>
      <c r="AI58" s="12" t="n">
        <v>3</v>
      </c>
      <c r="AJ58" s="12" t="n">
        <v>1</v>
      </c>
      <c r="AK58" s="11"/>
      <c r="AL58" s="0"/>
      <c r="AM58" s="11" t="s">
        <v>44</v>
      </c>
      <c r="AN58" s="11" t="n">
        <f aca="false">+$AN57/(14*7)</f>
        <v>0.244897959183673</v>
      </c>
      <c r="AO58" s="11"/>
      <c r="AP58" s="11"/>
      <c r="AQ58" s="11"/>
      <c r="AR58" s="11"/>
    </row>
    <row r="59" customFormat="false" ht="15" hidden="false" customHeight="false" outlineLevel="0" collapsed="false">
      <c r="A59" s="9" t="n">
        <v>45349.7593865741</v>
      </c>
      <c r="B59" s="10" t="s">
        <v>56</v>
      </c>
      <c r="C59" s="10" t="s">
        <v>81</v>
      </c>
      <c r="D59" s="10" t="n">
        <v>17</v>
      </c>
      <c r="E59" s="10" t="s">
        <v>59</v>
      </c>
      <c r="F59" s="11" t="s">
        <v>48</v>
      </c>
      <c r="G59" s="12" t="n">
        <v>2</v>
      </c>
      <c r="H59" s="12" t="n">
        <v>4</v>
      </c>
      <c r="I59" s="12" t="n">
        <v>4</v>
      </c>
      <c r="J59" s="12" t="n">
        <v>3</v>
      </c>
      <c r="K59" s="12" t="n">
        <v>2</v>
      </c>
      <c r="L59" s="12" t="n">
        <v>4</v>
      </c>
      <c r="M59" s="12" t="n">
        <v>4</v>
      </c>
      <c r="N59" s="12" t="n">
        <v>4</v>
      </c>
      <c r="O59" s="12" t="n">
        <v>3</v>
      </c>
      <c r="P59" s="12" t="n">
        <v>2</v>
      </c>
      <c r="Q59" s="12" t="n">
        <v>3</v>
      </c>
      <c r="R59" s="12" t="n">
        <v>1</v>
      </c>
      <c r="S59" s="12" t="n">
        <v>1</v>
      </c>
      <c r="T59" s="12" t="n">
        <v>4</v>
      </c>
      <c r="U59" s="12" t="n">
        <v>2</v>
      </c>
      <c r="V59" s="12" t="n">
        <v>1</v>
      </c>
      <c r="W59" s="12" t="n">
        <v>2</v>
      </c>
      <c r="X59" s="12" t="n">
        <v>2</v>
      </c>
      <c r="Y59" s="12" t="n">
        <v>2</v>
      </c>
      <c r="Z59" s="12" t="n">
        <v>3</v>
      </c>
      <c r="AA59" s="12" t="n">
        <v>3</v>
      </c>
      <c r="AB59" s="12" t="n">
        <v>1</v>
      </c>
      <c r="AC59" s="12" t="n">
        <v>1</v>
      </c>
      <c r="AD59" s="12" t="n">
        <v>3</v>
      </c>
      <c r="AE59" s="12" t="n">
        <v>4</v>
      </c>
      <c r="AF59" s="12" t="n">
        <v>2</v>
      </c>
      <c r="AG59" s="12" t="n">
        <v>1</v>
      </c>
      <c r="AH59" s="12" t="n">
        <v>2</v>
      </c>
      <c r="AI59" s="12" t="n">
        <v>3</v>
      </c>
      <c r="AJ59" s="12" t="n">
        <v>1</v>
      </c>
      <c r="AK59" s="11"/>
      <c r="AL59" s="11"/>
      <c r="AM59" s="11" t="s">
        <v>49</v>
      </c>
      <c r="AN59" s="13" t="n">
        <f aca="false">+STDEV(($Z$48:$Z$61),($AA$48:$AA$61),($AB$48:$AB$61),($AC$48:$AC$61),($AD$48:$AD$61),($AE$48:$AE$61),($AF$48:$AF$61),($AG$48:$AG$61))</f>
        <v>0.945719544519123</v>
      </c>
      <c r="AO59" s="11"/>
      <c r="AP59" s="11"/>
      <c r="AQ59" s="11"/>
      <c r="AR59" s="11"/>
    </row>
    <row r="60" customFormat="false" ht="15" hidden="false" customHeight="false" outlineLevel="0" collapsed="false">
      <c r="A60" s="9" t="n">
        <v>45349.7597916667</v>
      </c>
      <c r="B60" s="10" t="s">
        <v>56</v>
      </c>
      <c r="C60" s="10" t="s">
        <v>81</v>
      </c>
      <c r="D60" s="10" t="n">
        <v>17</v>
      </c>
      <c r="E60" s="10" t="s">
        <v>42</v>
      </c>
      <c r="F60" s="11" t="s">
        <v>43</v>
      </c>
      <c r="G60" s="12" t="n">
        <v>3</v>
      </c>
      <c r="H60" s="12" t="n">
        <v>2</v>
      </c>
      <c r="I60" s="12" t="n">
        <v>4</v>
      </c>
      <c r="J60" s="12" t="n">
        <v>3</v>
      </c>
      <c r="K60" s="12" t="n">
        <v>3</v>
      </c>
      <c r="L60" s="12" t="n">
        <v>1</v>
      </c>
      <c r="M60" s="12" t="n">
        <v>4</v>
      </c>
      <c r="N60" s="12" t="n">
        <v>4</v>
      </c>
      <c r="O60" s="12" t="n">
        <v>4</v>
      </c>
      <c r="P60" s="12" t="n">
        <v>2</v>
      </c>
      <c r="Q60" s="12" t="n">
        <v>3</v>
      </c>
      <c r="R60" s="12" t="n">
        <v>4</v>
      </c>
      <c r="S60" s="12" t="n">
        <v>1</v>
      </c>
      <c r="T60" s="12" t="n">
        <v>1</v>
      </c>
      <c r="U60" s="12" t="n">
        <v>4</v>
      </c>
      <c r="V60" s="12" t="n">
        <v>2</v>
      </c>
      <c r="W60" s="12" t="n">
        <v>3</v>
      </c>
      <c r="X60" s="12" t="n">
        <v>1</v>
      </c>
      <c r="Y60" s="12" t="n">
        <v>2</v>
      </c>
      <c r="Z60" s="12" t="n">
        <v>3</v>
      </c>
      <c r="AA60" s="12" t="n">
        <v>1</v>
      </c>
      <c r="AB60" s="12" t="n">
        <v>3</v>
      </c>
      <c r="AC60" s="12" t="n">
        <v>2</v>
      </c>
      <c r="AD60" s="12" t="n">
        <v>2</v>
      </c>
      <c r="AE60" s="12" t="n">
        <v>3</v>
      </c>
      <c r="AF60" s="12" t="n">
        <v>2</v>
      </c>
      <c r="AG60" s="12" t="n">
        <v>2</v>
      </c>
      <c r="AH60" s="12" t="n">
        <v>4</v>
      </c>
      <c r="AI60" s="12" t="n">
        <v>4</v>
      </c>
      <c r="AJ60" s="12" t="n">
        <v>4</v>
      </c>
      <c r="AK60" s="11"/>
      <c r="AL60" s="11"/>
      <c r="AM60" s="11"/>
      <c r="AN60" s="11"/>
      <c r="AO60" s="11"/>
      <c r="AP60" s="11"/>
      <c r="AQ60" s="11"/>
      <c r="AR60" s="11"/>
    </row>
    <row r="61" customFormat="false" ht="15" hidden="false" customHeight="false" outlineLevel="0" collapsed="false">
      <c r="A61" s="9" t="n">
        <v>45349.7610532407</v>
      </c>
      <c r="B61" s="10" t="s">
        <v>56</v>
      </c>
      <c r="C61" s="10" t="s">
        <v>81</v>
      </c>
      <c r="D61" s="10" t="n">
        <v>17</v>
      </c>
      <c r="E61" s="10" t="s">
        <v>59</v>
      </c>
      <c r="F61" s="11" t="s">
        <v>48</v>
      </c>
      <c r="G61" s="12" t="n">
        <v>3</v>
      </c>
      <c r="H61" s="12" t="n">
        <v>4</v>
      </c>
      <c r="I61" s="12" t="n">
        <v>4</v>
      </c>
      <c r="J61" s="12" t="n">
        <v>1</v>
      </c>
      <c r="K61" s="12" t="n">
        <v>4</v>
      </c>
      <c r="L61" s="12" t="n">
        <v>2</v>
      </c>
      <c r="M61" s="12" t="n">
        <v>4</v>
      </c>
      <c r="N61" s="12" t="n">
        <v>3</v>
      </c>
      <c r="O61" s="12" t="n">
        <v>3</v>
      </c>
      <c r="P61" s="12" t="n">
        <v>3</v>
      </c>
      <c r="Q61" s="12" t="n">
        <v>4</v>
      </c>
      <c r="R61" s="12" t="n">
        <v>3</v>
      </c>
      <c r="S61" s="12" t="n">
        <v>2</v>
      </c>
      <c r="T61" s="12" t="n">
        <v>2</v>
      </c>
      <c r="U61" s="12" t="n">
        <v>3</v>
      </c>
      <c r="V61" s="12" t="n">
        <v>1</v>
      </c>
      <c r="W61" s="12" t="n">
        <v>3</v>
      </c>
      <c r="X61" s="12" t="n">
        <v>2</v>
      </c>
      <c r="Y61" s="12" t="n">
        <v>1</v>
      </c>
      <c r="Z61" s="12" t="n">
        <v>1</v>
      </c>
      <c r="AA61" s="12" t="n">
        <v>3</v>
      </c>
      <c r="AB61" s="12" t="n">
        <v>2</v>
      </c>
      <c r="AC61" s="12" t="n">
        <v>1</v>
      </c>
      <c r="AD61" s="12" t="n">
        <v>3</v>
      </c>
      <c r="AE61" s="12" t="n">
        <v>3</v>
      </c>
      <c r="AF61" s="12" t="n">
        <v>2</v>
      </c>
      <c r="AG61" s="12" t="n">
        <v>3</v>
      </c>
      <c r="AH61" s="12" t="n">
        <v>4</v>
      </c>
      <c r="AI61" s="12" t="n">
        <v>4</v>
      </c>
      <c r="AJ61" s="12" t="n">
        <v>4</v>
      </c>
      <c r="AK61" s="11"/>
      <c r="AL61" s="13" t="s">
        <v>67</v>
      </c>
      <c r="AM61" s="13"/>
      <c r="AN61" s="13" t="n">
        <f aca="false">+COUNTIF($AH$2:$AH$16,"=1")+COUNTIF($AI$2:$AI$16,"=1")+COUNTIF($AJ$2:$AJ$16,"=1")+COUNTIF($P$2:$P$16,"=1")+COUNTIF($O$2:$O$16,"=1")+COUNTIF($M$2:$M$16,"=1")</f>
        <v>9</v>
      </c>
      <c r="AO61" s="13" t="n">
        <f aca="false">+COUNTIF($AH$2:$AH$16,"=2")+COUNTIF($AI$2:$AI$16,"=2")+COUNTIF($AJ$2:$AJ$16,"=2")+COUNTIF($P$2:$P$16,"=2")+COUNTIF($O$2:$O$16,"=2")+COUNTIF($M$2:$M$16,"=2")</f>
        <v>23</v>
      </c>
      <c r="AP61" s="13" t="n">
        <f aca="false">+COUNTIF($AH$2:$AH$16,"=3")+COUNTIF($AI$2:$AI$16,"=3")+COUNTIF($AJ$2:$AJ$16,"=3")+COUNTIF($P$2:$P$16,"=3")+COUNTIF($O$2:$O$16,"=3")+COUNTIF($M$2:$M$16,"=3")</f>
        <v>35</v>
      </c>
      <c r="AQ61" s="13" t="n">
        <f aca="false">+COUNTIF($AH$2:$AH$16,"=4")+COUNTIF($AI$2:$AI$16,"=4")+COUNTIF($AJ$2:$AJ$16,"=4")+COUNTIF($P$2:$P$16,"=4")+COUNTIF($O$2:$O$16,"=4")+COUNTIF($M$2:$M$16,"=4")</f>
        <v>23</v>
      </c>
      <c r="AR61" s="11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3"/>
      <c r="AM62" s="13"/>
      <c r="AN62" s="13" t="n">
        <f aca="false">+$AN61/(14*7)</f>
        <v>0.0918367346938776</v>
      </c>
      <c r="AO62" s="11"/>
      <c r="AP62" s="11"/>
      <c r="AQ62" s="11"/>
      <c r="AR62" s="11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0"/>
      <c r="AJ68" s="11"/>
      <c r="AK68" s="11" t="s">
        <v>82</v>
      </c>
      <c r="AL68" s="11" t="s">
        <v>83</v>
      </c>
      <c r="AM68" s="11" t="s">
        <v>84</v>
      </c>
      <c r="AN68" s="11" t="s">
        <v>85</v>
      </c>
      <c r="AO68" s="11"/>
      <c r="AP68" s="11"/>
      <c r="AQ68" s="11"/>
      <c r="AR68" s="11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 t="s">
        <v>36</v>
      </c>
      <c r="AK69" s="11" t="n">
        <v>2.28</v>
      </c>
      <c r="AL69" s="11" t="n">
        <v>1.96</v>
      </c>
      <c r="AM69" s="11" t="n">
        <v>2.17</v>
      </c>
      <c r="AN69" s="11" t="n">
        <v>1.92</v>
      </c>
      <c r="AO69" s="11"/>
      <c r="AP69" s="11"/>
      <c r="AQ69" s="11"/>
      <c r="AR69" s="11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 t="s">
        <v>45</v>
      </c>
      <c r="AK70" s="11" t="n">
        <v>0.51</v>
      </c>
      <c r="AL70" s="11" t="n">
        <v>0.51</v>
      </c>
      <c r="AM70" s="11" t="n">
        <v>0.59</v>
      </c>
      <c r="AN70" s="11" t="n">
        <v>0.51</v>
      </c>
      <c r="AO70" s="11"/>
      <c r="AP70" s="11"/>
      <c r="AQ70" s="11"/>
      <c r="AR70" s="11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 t="s">
        <v>50</v>
      </c>
      <c r="AK71" s="11" t="n">
        <v>0.71</v>
      </c>
      <c r="AL71" s="11" t="n">
        <v>0.67</v>
      </c>
      <c r="AM71" s="11" t="n">
        <v>0.67</v>
      </c>
      <c r="AN71" s="11" t="n">
        <v>0.73</v>
      </c>
      <c r="AO71" s="11"/>
      <c r="AP71" s="11"/>
      <c r="AQ71" s="11"/>
      <c r="AR71" s="11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 t="s">
        <v>52</v>
      </c>
      <c r="AK72" s="11"/>
      <c r="AL72" s="11"/>
      <c r="AM72" s="11"/>
      <c r="AN72" s="11"/>
      <c r="AO72" s="11"/>
      <c r="AP72" s="11"/>
      <c r="AQ72" s="11"/>
      <c r="AR72" s="11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3" t="s">
        <v>45</v>
      </c>
      <c r="AI78" s="13" t="s">
        <v>50</v>
      </c>
      <c r="AJ78" s="11"/>
      <c r="AK78" s="11"/>
      <c r="AL78" s="11"/>
      <c r="AM78" s="11"/>
      <c r="AN78" s="11"/>
      <c r="AO78" s="11"/>
      <c r="AP78" s="11"/>
      <c r="AQ78" s="11"/>
      <c r="AR78" s="11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3" t="n">
        <v>0.51</v>
      </c>
      <c r="AI79" s="13" t="n">
        <v>0.71</v>
      </c>
      <c r="AJ79" s="11"/>
      <c r="AK79" s="11"/>
      <c r="AL79" s="11"/>
      <c r="AM79" s="11"/>
      <c r="AN79" s="11"/>
      <c r="AO79" s="11"/>
      <c r="AP79" s="11"/>
      <c r="AQ79" s="11"/>
      <c r="AR79" s="11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3" t="n">
        <v>0.51</v>
      </c>
      <c r="AI80" s="13" t="n">
        <v>0.67</v>
      </c>
      <c r="AJ80" s="11"/>
      <c r="AK80" s="11"/>
      <c r="AL80" s="11"/>
      <c r="AM80" s="11"/>
      <c r="AN80" s="11"/>
      <c r="AO80" s="11"/>
      <c r="AP80" s="11"/>
      <c r="AQ80" s="11"/>
      <c r="AR80" s="11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3" t="n">
        <v>0.59</v>
      </c>
      <c r="AI81" s="13" t="n">
        <v>0.67</v>
      </c>
      <c r="AJ81" s="11"/>
      <c r="AK81" s="11"/>
      <c r="AL81" s="11"/>
      <c r="AM81" s="11"/>
      <c r="AN81" s="11"/>
      <c r="AO81" s="11"/>
      <c r="AP81" s="11"/>
      <c r="AQ81" s="11"/>
      <c r="AR81" s="11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3" t="n">
        <v>0.51</v>
      </c>
      <c r="AI82" s="13" t="n">
        <v>0.73</v>
      </c>
      <c r="AJ82" s="11"/>
      <c r="AK82" s="11"/>
      <c r="AL82" s="11"/>
      <c r="AM82" s="11"/>
      <c r="AN82" s="11"/>
      <c r="AO82" s="11"/>
      <c r="AP82" s="11"/>
      <c r="AQ82" s="11"/>
      <c r="AR82" s="11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3" t="s">
        <v>36</v>
      </c>
      <c r="AI99" s="13" t="s">
        <v>50</v>
      </c>
      <c r="AJ99" s="11"/>
      <c r="AK99" s="11"/>
      <c r="AL99" s="11"/>
      <c r="AM99" s="11"/>
      <c r="AN99" s="11"/>
      <c r="AO99" s="11"/>
      <c r="AP99" s="11"/>
      <c r="AQ99" s="11"/>
      <c r="AR99" s="11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3" t="n">
        <v>2.28</v>
      </c>
      <c r="AI100" s="13" t="n">
        <v>0.71</v>
      </c>
      <c r="AJ100" s="11"/>
      <c r="AK100" s="11"/>
      <c r="AL100" s="11"/>
      <c r="AM100" s="11"/>
      <c r="AN100" s="11"/>
      <c r="AO100" s="11"/>
      <c r="AP100" s="11"/>
      <c r="AQ100" s="11"/>
      <c r="AR100" s="11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3" t="n">
        <v>1.96</v>
      </c>
      <c r="AI101" s="13" t="n">
        <v>0.67</v>
      </c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3" t="n">
        <v>2.17</v>
      </c>
      <c r="AI102" s="13" t="n">
        <v>0.67</v>
      </c>
      <c r="AJ102" s="11"/>
      <c r="AK102" s="11"/>
      <c r="AL102" s="11"/>
      <c r="AM102" s="11"/>
      <c r="AN102" s="11"/>
      <c r="AO102" s="11"/>
      <c r="AP102" s="11"/>
      <c r="AQ102" s="11"/>
      <c r="AR102" s="11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3" t="n">
        <v>1.92</v>
      </c>
      <c r="AI103" s="13" t="n">
        <v>0.73</v>
      </c>
      <c r="AJ103" s="11"/>
      <c r="AK103" s="11"/>
      <c r="AL103" s="11"/>
      <c r="AM103" s="11"/>
      <c r="AN103" s="11"/>
      <c r="AO103" s="11"/>
      <c r="AP103" s="11"/>
      <c r="AQ103" s="11"/>
      <c r="AR103" s="11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</row>
    <row r="120" customFormat="false" ht="15" hidden="false" customHeight="false" outlineLevel="0" collapsed="false">
      <c r="AH120" s="2" t="n">
        <v>2.01</v>
      </c>
      <c r="AI120" s="13" t="n">
        <v>0.71</v>
      </c>
    </row>
    <row r="121" customFormat="false" ht="15" hidden="false" customHeight="false" outlineLevel="0" collapsed="false">
      <c r="AH121" s="2" t="n">
        <v>3.5</v>
      </c>
      <c r="AI121" s="13" t="n">
        <v>0.67</v>
      </c>
    </row>
    <row r="122" customFormat="false" ht="15" hidden="false" customHeight="false" outlineLevel="0" collapsed="false">
      <c r="AH122" s="14" t="n">
        <v>2.73</v>
      </c>
      <c r="AI122" s="13" t="n">
        <v>0.67</v>
      </c>
    </row>
    <row r="123" customFormat="false" ht="15" hidden="false" customHeight="false" outlineLevel="0" collapsed="false">
      <c r="AH123" s="2" t="n">
        <v>2.01</v>
      </c>
      <c r="AI123" s="13" t="n">
        <v>0.73</v>
      </c>
    </row>
    <row r="124" customFormat="false" ht="15" hidden="false" customHeight="false" outlineLevel="0" collapsed="false">
      <c r="AM124" s="13"/>
      <c r="AN124" s="13"/>
      <c r="AO124" s="13"/>
    </row>
    <row r="125" customFormat="false" ht="15" hidden="false" customHeight="false" outlineLevel="0" collapsed="false">
      <c r="AM125" s="13"/>
      <c r="AN125" s="13"/>
      <c r="AO125" s="13"/>
    </row>
    <row r="126" customFormat="false" ht="15" hidden="false" customHeight="false" outlineLevel="0" collapsed="false">
      <c r="AM126" s="13"/>
      <c r="AN126" s="13"/>
      <c r="AO126" s="13"/>
    </row>
    <row r="127" customFormat="false" ht="15" hidden="false" customHeight="false" outlineLevel="0" collapsed="false">
      <c r="AM127" s="13"/>
      <c r="AN127" s="13"/>
      <c r="AO127" s="13"/>
    </row>
    <row r="131" customFormat="false" ht="15" hidden="false" customHeight="false" outlineLevel="0" collapsed="false">
      <c r="AH131" s="14"/>
    </row>
    <row r="146" customFormat="false" ht="15" hidden="false" customHeight="false" outlineLevel="0" collapsed="false">
      <c r="AK146" s="13" t="s">
        <v>36</v>
      </c>
      <c r="AL146" s="13" t="s">
        <v>45</v>
      </c>
      <c r="AM146" s="2" t="s">
        <v>52</v>
      </c>
      <c r="AN146" s="2" t="s">
        <v>86</v>
      </c>
    </row>
    <row r="147" customFormat="false" ht="15" hidden="false" customHeight="false" outlineLevel="0" collapsed="false">
      <c r="AK147" s="13" t="n">
        <v>2.28</v>
      </c>
      <c r="AL147" s="13" t="n">
        <v>0.51</v>
      </c>
      <c r="AM147" s="2" t="n">
        <v>2.01</v>
      </c>
      <c r="AN147" s="13" t="n">
        <v>0.71</v>
      </c>
    </row>
    <row r="148" customFormat="false" ht="15" hidden="false" customHeight="false" outlineLevel="0" collapsed="false">
      <c r="AK148" s="13" t="n">
        <v>1.96</v>
      </c>
      <c r="AL148" s="13" t="n">
        <v>0.51</v>
      </c>
      <c r="AM148" s="2" t="n">
        <v>3.5</v>
      </c>
      <c r="AN148" s="13" t="n">
        <v>0.67</v>
      </c>
    </row>
    <row r="149" customFormat="false" ht="15" hidden="false" customHeight="false" outlineLevel="0" collapsed="false">
      <c r="AK149" s="13" t="n">
        <v>2.17</v>
      </c>
      <c r="AL149" s="13" t="n">
        <v>0.59</v>
      </c>
      <c r="AM149" s="14" t="n">
        <v>2.73</v>
      </c>
      <c r="AN149" s="13" t="n">
        <v>0.67</v>
      </c>
    </row>
    <row r="150" customFormat="false" ht="15" hidden="false" customHeight="false" outlineLevel="0" collapsed="false">
      <c r="AK150" s="13" t="n">
        <v>1.92</v>
      </c>
      <c r="AL150" s="13" t="n">
        <v>0.51</v>
      </c>
      <c r="AM150" s="2" t="n">
        <v>2.01</v>
      </c>
      <c r="AN150" s="13" t="n">
        <v>0.73</v>
      </c>
    </row>
    <row r="154" customFormat="false" ht="15" hidden="false" customHeight="false" outlineLevel="0" collapsed="false">
      <c r="AH154" s="14" t="s">
        <v>87</v>
      </c>
    </row>
    <row r="155" customFormat="false" ht="15" hidden="false" customHeight="false" outlineLevel="0" collapsed="false">
      <c r="AH155" s="2" t="s">
        <v>88</v>
      </c>
      <c r="AI155" s="2" t="s">
        <v>89</v>
      </c>
    </row>
    <row r="157" customFormat="false" ht="15" hidden="false" customHeight="false" outlineLevel="0" collapsed="false">
      <c r="AH157" s="2" t="s">
        <v>90</v>
      </c>
    </row>
    <row r="158" customFormat="false" ht="15" hidden="false" customHeight="false" outlineLevel="0" collapsed="false">
      <c r="AH158" s="2" t="n">
        <f aca="false" t="array" ref="AH158:AK162">LINEST($AN$147:$AN$150 , $AK$147:$AM$150 , 1 , 1)</f>
        <v>-0.0387770320656226</v>
      </c>
      <c r="AI158" s="2" t="n">
        <v>-0.227395600298284</v>
      </c>
      <c r="AJ158" s="2" t="n">
        <v>-0.0555555555555556</v>
      </c>
      <c r="AK158" s="2" t="n">
        <v>1.03058025727069</v>
      </c>
    </row>
    <row r="159" customFormat="false" ht="15" hidden="false" customHeight="false" outlineLevel="0" collapsed="false">
      <c r="AH159" s="2" t="n">
        <v>0</v>
      </c>
      <c r="AI159" s="2" t="n">
        <v>0</v>
      </c>
      <c r="AJ159" s="2" t="n">
        <v>0</v>
      </c>
      <c r="AK159" s="2" t="n">
        <v>0</v>
      </c>
    </row>
    <row r="160" customFormat="false" ht="15" hidden="false" customHeight="false" outlineLevel="0" collapsed="false">
      <c r="AH160" s="2" t="n">
        <v>1</v>
      </c>
      <c r="AI160" s="2" t="n">
        <v>0</v>
      </c>
      <c r="AJ160" s="2" t="e">
        <v>#N/A</v>
      </c>
      <c r="AK160" s="2" t="e">
        <v>#N/A</v>
      </c>
    </row>
    <row r="161" customFormat="false" ht="15" hidden="false" customHeight="false" outlineLevel="0" collapsed="false">
      <c r="AH161" s="2" t="e">
        <v>#N/A</v>
      </c>
      <c r="AI161" s="2" t="n">
        <v>0</v>
      </c>
      <c r="AJ161" s="2" t="e">
        <v>#N/A</v>
      </c>
      <c r="AK161" s="2" t="e">
        <v>#N/A</v>
      </c>
    </row>
    <row r="162" customFormat="false" ht="15" hidden="false" customHeight="false" outlineLevel="0" collapsed="false">
      <c r="AH162" s="2" t="n">
        <v>0.00269999999999999</v>
      </c>
      <c r="AI162" s="2" t="n">
        <v>0</v>
      </c>
      <c r="AJ162" s="2" t="e">
        <v>#N/A</v>
      </c>
      <c r="AK162" s="2" t="e">
        <v>#N/A</v>
      </c>
    </row>
    <row r="164" customFormat="false" ht="15" hidden="false" customHeight="false" outlineLevel="0" collapsed="false">
      <c r="AH164" s="2" t="s">
        <v>91</v>
      </c>
    </row>
    <row r="165" customFormat="false" ht="15" hidden="false" customHeight="false" outlineLevel="0" collapsed="false">
      <c r="AH165" s="2" t="s">
        <v>92</v>
      </c>
      <c r="AI165" s="2" t="n">
        <f aca="false">$AH$160</f>
        <v>1</v>
      </c>
    </row>
    <row r="166" customFormat="false" ht="15" hidden="false" customHeight="false" outlineLevel="0" collapsed="false">
      <c r="AH166" s="2" t="s">
        <v>93</v>
      </c>
      <c r="AI166" s="2" t="n">
        <f aca="false">$AI$160</f>
        <v>0</v>
      </c>
    </row>
    <row r="167" customFormat="false" ht="15" hidden="false" customHeight="false" outlineLevel="0" collapsed="false">
      <c r="AH167" s="2" t="s">
        <v>94</v>
      </c>
      <c r="AI167" s="2" t="n">
        <f aca="false">3</f>
        <v>3</v>
      </c>
    </row>
    <row r="168" customFormat="false" ht="15" hidden="false" customHeight="false" outlineLevel="0" collapsed="false">
      <c r="AH168" s="2" t="s">
        <v>95</v>
      </c>
      <c r="AI168" s="2" t="n">
        <f aca="false">4</f>
        <v>4</v>
      </c>
    </row>
    <row r="169" customFormat="false" ht="15" hidden="false" customHeight="false" outlineLevel="0" collapsed="false">
      <c r="AH169" s="2" t="s">
        <v>96</v>
      </c>
      <c r="AI169" s="2" t="e">
        <f aca="false">1 - (1 - $AH$160)*($AI$168 - 1)/($AI$168 - $AI$167 - 1)</f>
        <v>#DIV/0!</v>
      </c>
    </row>
    <row r="171" customFormat="false" ht="15" hidden="false" customHeight="false" outlineLevel="0" collapsed="false">
      <c r="AH171" s="2" t="s">
        <v>97</v>
      </c>
    </row>
    <row r="172" customFormat="false" ht="15" hidden="false" customHeight="false" outlineLevel="0" collapsed="false">
      <c r="AI172" s="2" t="s">
        <v>73</v>
      </c>
      <c r="AJ172" s="2" t="s">
        <v>98</v>
      </c>
      <c r="AK172" s="2" t="s">
        <v>99</v>
      </c>
      <c r="AL172" s="2" t="s">
        <v>100</v>
      </c>
      <c r="AM172" s="2" t="s">
        <v>101</v>
      </c>
    </row>
    <row r="173" customFormat="false" ht="15" hidden="false" customHeight="false" outlineLevel="0" collapsed="false">
      <c r="AH173" s="2" t="s">
        <v>87</v>
      </c>
      <c r="AI173" s="2" t="n">
        <f aca="false">$AI$167</f>
        <v>3</v>
      </c>
      <c r="AJ173" s="2" t="n">
        <f aca="false">$AH$162</f>
        <v>0.00269999999999999</v>
      </c>
      <c r="AK173" s="2" t="n">
        <f aca="false">$AH$162 / $AI$173</f>
        <v>0.000899999999999998</v>
      </c>
      <c r="AL173" s="2" t="e">
        <f aca="false">$AH$161</f>
        <v>#N/A</v>
      </c>
      <c r="AM173" s="2" t="e">
        <f aca="false">FDIST($AH$161 , $AI$173 , $AI$161)</f>
        <v>#N/A</v>
      </c>
    </row>
    <row r="174" customFormat="false" ht="15" hidden="false" customHeight="false" outlineLevel="0" collapsed="false">
      <c r="AH174" s="2" t="s">
        <v>102</v>
      </c>
      <c r="AI174" s="2" t="n">
        <f aca="false">$AI$161</f>
        <v>0</v>
      </c>
      <c r="AJ174" s="2" t="n">
        <f aca="false">$AI$162</f>
        <v>0</v>
      </c>
      <c r="AK174" s="2" t="e">
        <f aca="false">$AI$162 / $AI$161</f>
        <v>#DIV/0!</v>
      </c>
    </row>
    <row r="175" customFormat="false" ht="15" hidden="false" customHeight="false" outlineLevel="0" collapsed="false">
      <c r="AH175" s="2" t="s">
        <v>103</v>
      </c>
      <c r="AI175" s="2" t="n">
        <f aca="false">$AI$173 + $AI$161</f>
        <v>3</v>
      </c>
      <c r="AJ175" s="2" t="n">
        <f aca="false">$AH$162 + $AI$162</f>
        <v>0.00269999999999999</v>
      </c>
    </row>
    <row r="177" customFormat="false" ht="15" hidden="false" customHeight="false" outlineLevel="0" collapsed="false">
      <c r="AH177" s="2" t="s">
        <v>104</v>
      </c>
      <c r="AI177" s="2" t="n">
        <v>0.95</v>
      </c>
    </row>
    <row r="179" customFormat="false" ht="15" hidden="false" customHeight="false" outlineLevel="0" collapsed="false">
      <c r="AI179" s="2" t="s">
        <v>105</v>
      </c>
      <c r="AJ179" s="2" t="s">
        <v>93</v>
      </c>
      <c r="AK179" s="2" t="s">
        <v>106</v>
      </c>
      <c r="AL179" s="2" t="s">
        <v>76</v>
      </c>
      <c r="AM179" s="2" t="str">
        <f aca="false">_xlfn.CONCAT("Lower " , INT($AI$177 * 100) , "%")</f>
        <v>Lower 95%</v>
      </c>
      <c r="AN179" s="2" t="str">
        <f aca="false">_xlfn.CONCAT("Upper " , INT($AI$177 * 100) , "%")</f>
        <v>Upper 95%</v>
      </c>
    </row>
    <row r="180" customFormat="false" ht="15" hidden="false" customHeight="false" outlineLevel="0" collapsed="false">
      <c r="AH180" s="2" t="str">
        <f aca="false">"Intercept"</f>
        <v>Intercept</v>
      </c>
      <c r="AI180" s="2" t="n">
        <f aca="false" t="array" ref="AI180:AI183">INDEX($AH$158:$AK$158, 1 , ROW($AI$183)+1 - ROW())</f>
        <v>1.03058025727069</v>
      </c>
      <c r="AJ180" s="2" t="n">
        <f aca="false" t="array" ref="AJ180:AJ183">INDEX($AH$159:$AK$159, 1 , ROW($AJ$183)+1 - ROW())</f>
        <v>0</v>
      </c>
      <c r="AK180" s="2" t="e">
        <f aca="false" t="array" ref="AK180:AK183">$AI$180:$AI$183 / $AJ$180:$AJ$183</f>
        <v>#DIV/0!</v>
      </c>
      <c r="AL180" s="2" t="e">
        <f aca="false" t="array" ref="AL180:AL183">TDIST(ABS($AK$180:$AK$183) , $AI$161 , 2 )</f>
        <v>#DIV/0!</v>
      </c>
      <c r="AM180" s="2" t="e">
        <f aca="false" t="array" ref="AM180:AM183">$AI$180:$AI$183 - $AJ$180:$AJ$183 * TINV(1 - $AI$177 , $AI$161)</f>
        <v>#VALUE!</v>
      </c>
      <c r="AN180" s="2" t="e">
        <f aca="false" t="array" ref="AN180:AN183">$AI$180:$AI$183 + $AJ$180:$AJ$183 * TINV(1 - $AI$177 , $AI$161)</f>
        <v>#VALUE!</v>
      </c>
    </row>
    <row r="181" customFormat="false" ht="15" hidden="false" customHeight="false" outlineLevel="0" collapsed="false">
      <c r="AH181" s="2" t="str">
        <f aca="false">"X1"</f>
        <v>X1</v>
      </c>
      <c r="AI181" s="2" t="n">
        <v>-0.0555555555555556</v>
      </c>
      <c r="AJ181" s="2" t="n">
        <v>0</v>
      </c>
      <c r="AK181" s="2" t="e">
        <v>#DIV/0!</v>
      </c>
      <c r="AL181" s="2" t="e">
        <v>#DIV/0!</v>
      </c>
      <c r="AM181" s="2" t="e">
        <v>#VALUE!</v>
      </c>
      <c r="AN181" s="2" t="e">
        <v>#VALUE!</v>
      </c>
    </row>
    <row r="182" customFormat="false" ht="15" hidden="false" customHeight="false" outlineLevel="0" collapsed="false">
      <c r="AH182" s="2" t="str">
        <f aca="false">"X2"</f>
        <v>X2</v>
      </c>
      <c r="AI182" s="2" t="n">
        <v>-0.227395600298284</v>
      </c>
      <c r="AJ182" s="2" t="n">
        <v>0</v>
      </c>
      <c r="AK182" s="2" t="e">
        <v>#DIV/0!</v>
      </c>
      <c r="AL182" s="2" t="e">
        <v>#DIV/0!</v>
      </c>
      <c r="AM182" s="2" t="e">
        <v>#VALUE!</v>
      </c>
      <c r="AN182" s="2" t="e">
        <v>#VALUE!</v>
      </c>
    </row>
    <row r="183" customFormat="false" ht="15" hidden="false" customHeight="false" outlineLevel="0" collapsed="false">
      <c r="AH183" s="2" t="str">
        <f aca="false">"X3"</f>
        <v>X3</v>
      </c>
      <c r="AI183" s="2" t="n">
        <v>-0.0387770320656226</v>
      </c>
      <c r="AJ183" s="2" t="n">
        <v>0</v>
      </c>
      <c r="AK183" s="2" t="e">
        <v>#DIV/0!</v>
      </c>
      <c r="AL183" s="2" t="e">
        <v>#DIV/0!</v>
      </c>
      <c r="AM183" s="2" t="e">
        <v>#VALUE!</v>
      </c>
      <c r="AN183" s="2" t="e">
        <v>#VALUE!</v>
      </c>
    </row>
    <row r="185" customFormat="false" ht="15" hidden="false" customHeight="false" outlineLevel="0" collapsed="false">
      <c r="AH185" s="2" t="str">
        <f aca="false">"X1"</f>
        <v>X1</v>
      </c>
      <c r="AI185" s="2" t="str">
        <f aca="false">"X2"</f>
        <v>X2</v>
      </c>
      <c r="AJ185" s="2" t="str">
        <f aca="false">"X3"</f>
        <v>X3</v>
      </c>
      <c r="AK185" s="2" t="s">
        <v>107</v>
      </c>
      <c r="AL185" s="2" t="str">
        <f aca="false">"Y"</f>
        <v>Y</v>
      </c>
      <c r="AM185" s="2" t="s">
        <v>102</v>
      </c>
    </row>
    <row r="186" customFormat="false" ht="15" hidden="false" customHeight="false" outlineLevel="0" collapsed="false">
      <c r="AH186" s="2" t="n">
        <f aca="false" t="array" ref="AH186:AJ189">$AK$147:$AM$150</f>
        <v>2.28</v>
      </c>
      <c r="AI186" s="2" t="n">
        <v>0.51</v>
      </c>
      <c r="AJ186" s="2" t="n">
        <v>2.01</v>
      </c>
      <c r="AK186" s="2" t="n">
        <f aca="false" t="array" ref="AK186:AK189">MMULT($AH$186:$AJ$189 , $AI$181:$AI$183) + $AI$180</f>
        <v>0.71</v>
      </c>
      <c r="AL186" s="2" t="n">
        <f aca="false" t="array" ref="AL186:AL189">$AN$147:$AN$150</f>
        <v>0.71</v>
      </c>
      <c r="AM186" s="2" t="n">
        <f aca="false" t="array" ref="AM186:AM189">$AL$186:$AL$189 - $AK$186:$AK$189</f>
        <v>0</v>
      </c>
    </row>
    <row r="187" customFormat="false" ht="15" hidden="false" customHeight="false" outlineLevel="0" collapsed="false">
      <c r="AH187" s="2" t="n">
        <v>1.96</v>
      </c>
      <c r="AI187" s="2" t="n">
        <v>0.51</v>
      </c>
      <c r="AJ187" s="2" t="n">
        <v>3.5</v>
      </c>
      <c r="AK187" s="2" t="n">
        <v>0.67</v>
      </c>
      <c r="AL187" s="2" t="n">
        <v>0.67</v>
      </c>
      <c r="AM187" s="2" t="n">
        <v>0</v>
      </c>
    </row>
    <row r="188" customFormat="false" ht="15" hidden="false" customHeight="false" outlineLevel="0" collapsed="false">
      <c r="AH188" s="2" t="n">
        <v>2.17</v>
      </c>
      <c r="AI188" s="2" t="n">
        <v>0.59</v>
      </c>
      <c r="AJ188" s="2" t="n">
        <v>2.73</v>
      </c>
      <c r="AK188" s="2" t="n">
        <v>0.67</v>
      </c>
      <c r="AL188" s="2" t="n">
        <v>0.67</v>
      </c>
      <c r="AM188" s="2" t="n">
        <v>0</v>
      </c>
    </row>
    <row r="189" customFormat="false" ht="15" hidden="false" customHeight="false" outlineLevel="0" collapsed="false">
      <c r="AH189" s="2" t="n">
        <v>1.92</v>
      </c>
      <c r="AI189" s="2" t="n">
        <v>0.51</v>
      </c>
      <c r="AJ189" s="2" t="n">
        <v>2.01</v>
      </c>
      <c r="AK189" s="2" t="n">
        <v>0.73</v>
      </c>
      <c r="AL189" s="2" t="n">
        <v>0.73</v>
      </c>
      <c r="AM189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2024-06-24T07:32:55Z</dcterms:created>
  <dc:creator>Sam Belga</dc:creator>
  <dc:description/>
  <dc:language>en-US</dc:language>
  <cp:lastModifiedBy/>
  <dcterms:modified xsi:type="dcterms:W3CDTF">2024-08-24T13:01:24Z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